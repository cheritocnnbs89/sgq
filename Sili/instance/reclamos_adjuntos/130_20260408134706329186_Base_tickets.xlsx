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quimpaccomec-my.sharepoint.com/personal/jchavez_quimpac_com_ec/Documents/Documentos/"/>
    </mc:Choice>
  </mc:AlternateContent>
  <xr:revisionPtr revIDLastSave="209" documentId="8_{CF92581A-0E2E-4CD5-A8D3-5F6FE9171A7C}" xr6:coauthVersionLast="47" xr6:coauthVersionMax="47" xr10:uidLastSave="{4D59B748-9BFD-409E-BEF9-F750134EDA27}"/>
  <bookViews>
    <workbookView xWindow="-110" yWindow="-110" windowWidth="19420" windowHeight="11500" xr2:uid="{00000000-000D-0000-FFFF-FFFF00000000}"/>
  </bookViews>
  <sheets>
    <sheet name="Reporte Tareas" sheetId="1" r:id="rId1"/>
    <sheet name="Tipo Tarea" sheetId="4" r:id="rId2"/>
    <sheet name="Usuarios" sheetId="2" r:id="rId3"/>
    <sheet name="Estados" sheetId="3" r:id="rId4"/>
    <sheet name="Departamentos" sheetId="5" r:id="rId5"/>
  </sheets>
  <definedNames>
    <definedName name="_xlnm._FilterDatabase" localSheetId="0" hidden="1">'Reporte Tareas'!$A$1:$S$226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43" i="1"/>
  <c r="S144" i="1"/>
  <c r="S145" i="1"/>
  <c r="S146" i="1"/>
  <c r="S147" i="1"/>
  <c r="S148" i="1"/>
  <c r="S149" i="1"/>
  <c r="S150" i="1"/>
  <c r="S151" i="1"/>
  <c r="S152" i="1"/>
  <c r="S153" i="1"/>
  <c r="S154" i="1"/>
  <c r="S155"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10" i="1"/>
  <c r="K89" i="1"/>
  <c r="K90" i="1"/>
  <c r="K91" i="1"/>
  <c r="K92" i="1"/>
  <c r="K93" i="1"/>
  <c r="K94" i="1"/>
  <c r="K95" i="1"/>
  <c r="K96" i="1"/>
  <c r="K97" i="1"/>
  <c r="K98" i="1"/>
  <c r="K99" i="1"/>
  <c r="K100" i="1"/>
  <c r="K101" i="1"/>
  <c r="K102" i="1"/>
  <c r="K103" i="1"/>
  <c r="K104" i="1"/>
  <c r="K105" i="1"/>
  <c r="K106" i="1"/>
  <c r="K107" i="1"/>
  <c r="K108" i="1"/>
  <c r="K109" i="1"/>
  <c r="K88" i="1"/>
  <c r="K87"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 i="1"/>
  <c r="K3" i="1"/>
  <c r="K4" i="1"/>
  <c r="K5" i="1"/>
  <c r="K6" i="1"/>
  <c r="K7" i="1"/>
  <c r="K8" i="1"/>
  <c r="K9" i="1"/>
  <c r="K10" i="1"/>
  <c r="K11" i="1"/>
  <c r="K12" i="1"/>
  <c r="K13" i="1"/>
  <c r="K14" i="1"/>
  <c r="K15" i="1"/>
  <c r="K16" i="1"/>
  <c r="K17" i="1"/>
  <c r="K18" i="1"/>
  <c r="K19" i="1"/>
  <c r="K20" i="1"/>
  <c r="K21" i="1"/>
  <c r="K2" i="1"/>
</calcChain>
</file>

<file path=xl/sharedStrings.xml><?xml version="1.0" encoding="utf-8"?>
<sst xmlns="http://schemas.openxmlformats.org/spreadsheetml/2006/main" count="2175" uniqueCount="505">
  <si>
    <t>Código Tarea</t>
  </si>
  <si>
    <t>Título</t>
  </si>
  <si>
    <t>Descripción Tarea</t>
  </si>
  <si>
    <t>Estado Global</t>
  </si>
  <si>
    <t>Tipo Tarea</t>
  </si>
  <si>
    <t>Creado por</t>
  </si>
  <si>
    <t>F. Creación</t>
  </si>
  <si>
    <t>F. Compromiso</t>
  </si>
  <si>
    <t>Responsable Tarea</t>
  </si>
  <si>
    <t>Departamento</t>
  </si>
  <si>
    <t>Fecha Acción</t>
  </si>
  <si>
    <t>Acción registrada por</t>
  </si>
  <si>
    <t>Resumen Acción</t>
  </si>
  <si>
    <t>Detalle Técnico Acción</t>
  </si>
  <si>
    <t>Estado del Paso</t>
  </si>
  <si>
    <t>Asignado en este paso</t>
  </si>
  <si>
    <t>Fin Tentativo Paso</t>
  </si>
  <si>
    <t>PLANIFICADOR DE COBRO</t>
  </si>
  <si>
    <t>CEDULA DE MOROSIDAD</t>
  </si>
  <si>
    <t>Terminado</t>
  </si>
  <si>
    <t>Soporte</t>
  </si>
  <si>
    <t>Crédito y Cobranzas</t>
  </si>
  <si>
    <t>REGISTRO DE CUENTAS POR PAGAR</t>
  </si>
  <si>
    <t>ingreso de facturas Emision y autorizacion de retenciones</t>
  </si>
  <si>
    <t>GENESIS MARISOL SANTIANA RIVERA</t>
  </si>
  <si>
    <t>CONTABILIDAD QP</t>
  </si>
  <si>
    <t>PRUEBA</t>
  </si>
  <si>
    <t>En desarrollo</t>
  </si>
  <si>
    <t>Revision acceso Citibank</t>
  </si>
  <si>
    <t>PEDRO PABLO PALMA LEON</t>
  </si>
  <si>
    <t>SISTEMAS QP</t>
  </si>
  <si>
    <t>revision e ingreso de facturas emision de retencion</t>
  </si>
  <si>
    <t>REDISTRO DE FACTURAS EMISION DE RETENCIONES</t>
  </si>
  <si>
    <t>registro de factura y emison de retenciones</t>
  </si>
  <si>
    <t>Registros en Qpside</t>
  </si>
  <si>
    <t>MARIA DE LOURDES BURGOS WONG</t>
  </si>
  <si>
    <t>CONFIRMING ARCA CONTINENTAL</t>
  </si>
  <si>
    <t>CUADRO DE CALCULO DE COMISIÓN POR ANTICIPO DE CARTERA ARCA</t>
  </si>
  <si>
    <t>Planificador de cobros</t>
  </si>
  <si>
    <t>CONCILIACION BANCARIA</t>
  </si>
  <si>
    <t>CODIFICACION, ANALISIS REVISION DE ESTADOS DE CUENTAS, Y CONCILIACION BANCARIAS DE LOS SIGUIENTES BANCOS:
1.-PRODUBANCO CORRIENTE
2.- PRODUBANCO QUITO
3.-PRODUBANCO AHORRO
 4.-PICHINCHA
5.-BOLIVARIANO 
6.-PACIFICO 
7.-GUAYAQUIL
8.-INTERNACIONAL
 9.-CITIBANK EC 
10.-CITIBANK NEW YORK</t>
  </si>
  <si>
    <t>CONCILIACION BANCARIAS</t>
  </si>
  <si>
    <t>CODIFICACION, ANALISIS REVISION Y REGISTRO DE CONCILIACIONES BANCARIAS: 10 BANCOS</t>
  </si>
  <si>
    <t>REGISTRO FACTURAS DE IMPORTACIONES</t>
  </si>
  <si>
    <t>CIERRE DE MES</t>
  </si>
  <si>
    <t>LUCY AMPARO BARRETO LUCAS</t>
  </si>
  <si>
    <t>REGISTRO DEBITOS</t>
  </si>
  <si>
    <t>REGISTRO DEBITOS Y PAGOS AL EXTERIOR</t>
  </si>
  <si>
    <t>SOMALIA AMADA JARAMILLO AGUIRRE</t>
  </si>
  <si>
    <t>TESORERIA QP</t>
  </si>
  <si>
    <t>FINALIZA TAREA</t>
  </si>
  <si>
    <t>REGISTRO ,AUTORIZACION DE FACTURAS Y RETENCIONES.</t>
  </si>
  <si>
    <t>CONFIRMING INTERAGUA</t>
  </si>
  <si>
    <t>REGISTRO CAJAS CHICAS</t>
  </si>
  <si>
    <t>REGISTRO CAJAS CHICAS Y REEMBOLSOS EFECTIVOS CIERRE DE MES</t>
  </si>
  <si>
    <t>Planificador de cobros agosto</t>
  </si>
  <si>
    <t>cierre de mes</t>
  </si>
  <si>
    <t>CONCILIACIONES BANCARIAS</t>
  </si>
  <si>
    <t>Por iniciar</t>
  </si>
  <si>
    <t>COMPENSACIONES</t>
  </si>
  <si>
    <t>CONCILIACION BANCARIAS DE LOS SIGUIENTES BANCOS BANCOS: 
1.-PRODUBANCO CORRIENTE 
2.-PRODUBANCO QUITO
3.-PRODUBANCO AHORRO
 4.-PICHINCHA
5.-BOLIVARIANO
 6.-PACIFICO
 7.-GUAYAQUIL
8.-INTERNACIONAL 
9.-CITIBANK EC 
10.-CITIBANK NEW YORK</t>
  </si>
  <si>
    <t>analisis y analisis de emrf</t>
  </si>
  <si>
    <t>descargo y revision de OC</t>
  </si>
  <si>
    <t>REGISTRO DE  CUENTAS POR PAGAR</t>
  </si>
  <si>
    <t>ingreso de facturas Emision y autorizacion de retencione</t>
  </si>
  <si>
    <t>REGISTRO CRUCE DE HONORARIOS Y COMPENSACIONES DE CTAS POR PAGAR</t>
  </si>
  <si>
    <t>CRUCE DE NC DE SOLVESA
CRUCE DE HONORARIO DE GERENTES
CRUES DE FACTURAS CON PAGOS MDI
REGISTROS DE LIQUIDACION DE HABERES 
COPAGOS DE SALUDSA 
REGISTRO DE SUPERCIAS QP
REGISTROS DE IESS 
REVISION DE INGRESOS DE PRESTAMOS PERSONAL</t>
  </si>
  <si>
    <t>CONCILIACIONES BANCARIAS
PROD UIO
PROD AHORRO
PROD CTE
PICHINCHA
CITIBANK NEW YORK
CITIBACK EC
PACIFICO 
GUAYAQUIL
INTERNACIONAL
BOLIVARIANO</t>
  </si>
  <si>
    <t>CONCILIACIONES BANCARIAS  10 bancos</t>
  </si>
  <si>
    <t>CONCILIACION BANCARIAS 
PRODUBANCO CTE 
PICHINCHA</t>
  </si>
  <si>
    <t>REGISTRO DE FACTURAS DEL MES DE OCTUBRE ,
Y GENERACION DE RETENCIONES.
CUADRO DE REPORTE DE ENTREGA A TESORERIA</t>
  </si>
  <si>
    <t>REGISTRO DE FACTURAS DEL MES DE OCTUBRE , Y GENERACION DE RETENCIONES. CUADRO DE REPORTE DE ENTREGA A TESORERIA</t>
  </si>
  <si>
    <t>Depuración de correos - Elias Emen</t>
  </si>
  <si>
    <t>Se asistió en sitio para la depuración de los correos antiguos.</t>
  </si>
  <si>
    <t>ROBERT MIGUEL RUIZ GONZALEZ</t>
  </si>
  <si>
    <t>Instalación ATS - RDEP SRI - Glenda Campo</t>
  </si>
  <si>
    <t>Se requiere la instalación de las aplicaciones solicitadas.</t>
  </si>
  <si>
    <t>Configuración de pantalla de Recepción</t>
  </si>
  <si>
    <t>Se requiere habilitar la pantalla para la programación de la cartelera digital</t>
  </si>
  <si>
    <t>Problemas con la impresora de Compras</t>
  </si>
  <si>
    <t>Se quedan pendientes las impresiones y se efectuó la cancelación de los trabajos pendientes para recuperar el servicio de impresión.</t>
  </si>
  <si>
    <t>Biométrico de garita principal apagado</t>
  </si>
  <si>
    <t>Se efectuó el soporte en sitio y se restableció la conexión eléctrica del dispositivo.</t>
  </si>
  <si>
    <t>Reunión propuesta Nakivo - Backup planta Cloro Soda</t>
  </si>
  <si>
    <t>Reunión para implementación y regularización de los respaldo de los servidores de planta</t>
  </si>
  <si>
    <t>Conciliacion bancarias</t>
  </si>
  <si>
    <t>REGISTRO FACTURAS Y RETENCOINES</t>
  </si>
  <si>
    <t>REGISTRO FACTURAS MDI Y COMPENSACION ANTICIPOS</t>
  </si>
  <si>
    <t>ngreso xml y retenciones par cierre de mes</t>
  </si>
  <si>
    <t>CONCILIACION Y ASIENTOS</t>
  </si>
  <si>
    <t>CONCILICIONES BANCARIAS Y REGISTROS DE PARTIDAS PENDIENTE</t>
  </si>
  <si>
    <t>conciliaciones bancarias y anexo del mismo</t>
  </si>
  <si>
    <t>Conciliacion bancaria de banco guayaquil y de produbanco y a su vez anexo del mismo</t>
  </si>
  <si>
    <t>Anexo de anticipos y emrf</t>
  </si>
  <si>
    <t>realizar anexo de anticipo y emrf</t>
  </si>
  <si>
    <t>Revisión de Sistema Reclamos</t>
  </si>
  <si>
    <t>CARLA FERNANDA QUIJANO ESMERALDAS</t>
  </si>
  <si>
    <t>SERVICIO AL CLIENTE QP</t>
  </si>
  <si>
    <t>Revisión  de Tickets con Area Comercial</t>
  </si>
  <si>
    <t>Se esta en revisión del Tickets con Area Comercial</t>
  </si>
  <si>
    <t>JORGE ALFREDO CHAVEZ LINO</t>
  </si>
  <si>
    <t>Solicitud de Continuidad de Pruebas de FFAA</t>
  </si>
  <si>
    <t>Se solicita fecha de pruebas del desarrollo de fuerzas armadas con el usuario Evelyn Espinoza</t>
  </si>
  <si>
    <t>Inconveniente acceso Power BI</t>
  </si>
  <si>
    <t>Analizar cubo de datos</t>
  </si>
  <si>
    <t>Se realizó revisión de información de ventas en la base de datos, se confirma por parte del usuario que se sincronizarón los datos</t>
  </si>
  <si>
    <t>En proceso</t>
  </si>
  <si>
    <t>Cierre de Ticket</t>
  </si>
  <si>
    <t>CARGA MASIVA - NO SE SINCRONIZA - URGENTE</t>
  </si>
  <si>
    <t>Estimado @Jorge Chavez, muy buenos días.
He revisado lo indicado y confirmo que actualmente genera carga operativa. Tenemos un proceso de ingreso de cobranzas masivo; sin embargo, el traslado de guardar la información, hasta llegar a la fase en sí, requiere ingresar a 3 rutas, lo cual aumenta el tiempo total del proceso, afectando la agilidad que caracteriza a nuestro sistema.
Agradecería mucho su ayuda y revisión. La mejora que tenemos actualmente no cubre completamente la necesidad, ya que aún nos toma tiempo guardar la información de la unidad compartida al escritorio y luego volver a guardarla en la unidad compartida. Me indica  que debo generar un ticket para gestionar mi requerimiento, pero preferiría acercarme para que me guíe e ingresar el proceso, ya que actualmente esto está generando demora en el guardado de información de nuestra cobranza.
Gracias por su apoyo.
Saludos cordiales,</t>
  </si>
  <si>
    <t>Solicitud de Transacción</t>
  </si>
  <si>
    <t>Se requiere que el usuario envíe el nombre de la transacción utilizada en el Sistema SAP</t>
  </si>
  <si>
    <t>SOPORTE PARA LA CREACIÓN DE INDICADOR DEL 30% EN RETENCIONES EN MODULO SAP</t>
  </si>
  <si>
    <t>Buenas, 
Por medio de la presente me dirijo a ustedes para que me brinden el soporte en este caso, dentro del sistema Sap en el apartado donde se incluyen los tipos de contribuyente, donde está el indicado, no existe la opción de elegir el indicador del 30% de retención en el Iva, lo cual ha causado ciertos problemas al momento de procesar las retenciones, las cuales no deberían ingresarse manualmente sino de manera automática, el cual ha generado algunos incovenientes en el tema de las cuentas contables en el mes de octubre, adjunto un Pdf con el detalle y las capturas del sistema. 
Quedo atento a cualquier novedad o inquietud acerca del tema.
Saludos Cordiales, 
César López.</t>
  </si>
  <si>
    <t>Seguimiento a equipo de QP Perú</t>
  </si>
  <si>
    <t>Buenos días,
Estimado Esteban,
Nos comentas fecha de atención de este tema?
Saludos.</t>
  </si>
  <si>
    <t>Se esta en espera del cambio visto en las pruebas realizadas en el ambiente SAP QAS, se indicá por Rosa Chávez que se enviará comunicado nuevamente el  15/1/2025 para volver a validar</t>
  </si>
  <si>
    <t>Pendiente</t>
  </si>
  <si>
    <t>2026-01-15T21:29</t>
  </si>
  <si>
    <t>Reporte de diferencias en valores y ajustes manuales en el sistema.</t>
  </si>
  <si>
    <t>Jorge
favor pásale un correo a Estevan que maneja SAP FI, para conocer su experiencia en este tema
saludos
Julio</t>
  </si>
  <si>
    <t>Solicitud de espacio a Consultor FI</t>
  </si>
  <si>
    <t>Buenas tardes,
Estimado Esteban,
Me comentas espacio en tu agenda para poder realizarte unas consultas sobre la problemática que tiene el usuario en este proceso.
La transacción que se utiliza para el registro de documentos es:
Quedo al pendiente de tu respuesta.</t>
  </si>
  <si>
    <t>Metrica: Solicitud de configuración de alerta en SAP para órdenes de compra ya despachadas - Quimpac</t>
  </si>
  <si>
    <t>Envío de cotización de requerimiento al usuario</t>
  </si>
  <si>
    <t>Actualización de estado</t>
  </si>
  <si>
    <t>Se cierra caso hasta obtener un presupuesto aprobado para atender requerimiento</t>
  </si>
  <si>
    <t>Requerimiento Reporte Comprobante egreso agrupado</t>
  </si>
  <si>
    <t>Buenas tardes,
Estimada Somalia,
Me comentas si podemos revisar el requerimiento solicitado y evaluar con el  proveedor las actividades, posterior  ver si se ajusta los tiempos y disminuye el costo.
Quedo al pendiente.
Saludos.</t>
  </si>
  <si>
    <t>Envío de Propuesta</t>
  </si>
  <si>
    <t>Se envía propuesta al usuario y solicitud de fecha para poder reunirnos con el proveedor</t>
  </si>
  <si>
    <t>ECQP2025PRY046 - Desarrollo de sistema de Ingreso de registro de gastos de tarjeta de crédito\reembolsos</t>
  </si>
  <si>
    <t>Solicitud de Orden de Trabajo para pase al ambiente SAP QAS</t>
  </si>
  <si>
    <t>Se crea ticket en la plataforma Sysaid y se espera aprobación de la Gerencia Financiera</t>
  </si>
  <si>
    <t>Validación de Seguridad de Aplicativo por persona del Qp Perú</t>
  </si>
  <si>
    <t>Validación de Seguridad de Aplicativo por persona del Qp Perú, se realizó reunion con el personal de seguridad para ver los controles de la aplicación desarrollada.</t>
  </si>
  <si>
    <t>Pase de OT del los Apis creados para registro de documentos FB60</t>
  </si>
  <si>
    <t>Pruebas de Apis y registro de contabilización de documentos</t>
  </si>
  <si>
    <t>Pruebas SAP QAS API</t>
  </si>
  <si>
    <t>Correción y validación de parametros que se estan usando en el api por error presentado en el consumo desde la aplicaión de TC</t>
  </si>
  <si>
    <t>Solicitud de pase de nuevo cambio al personal de Quimpac Perú(Esteban Ríos)</t>
  </si>
  <si>
    <t>Validación interna de equipo TI EC del nuevo cambio, la prueba se realiza consumiendo el api desde la aplicación la prueba debe considerar la contabilización en el sistema SAP</t>
  </si>
  <si>
    <t>Pruebas SAP QAS Usuario</t>
  </si>
  <si>
    <t>Validación por parte del usuario en la contabilización de documentos electrónicos enviados desde el sistema de TC</t>
  </si>
  <si>
    <t>Manual de Usuario del Sistema</t>
  </si>
  <si>
    <t>Generación de Manual de Usuario del Sistema, tarea eleborada por Jorge Chávez</t>
  </si>
  <si>
    <t>Pase a Producción del Sistema</t>
  </si>
  <si>
    <t>Se realizará petición al equipo de Qp Perú el pase de la OT al ambiente SAP PRO</t>
  </si>
  <si>
    <t>Verificación de contabilización de documentos en el ambiente SAP PRO por parte del usuario</t>
  </si>
  <si>
    <t>Planificación de Capacitación a Usuarios</t>
  </si>
  <si>
    <t>Elaboración de Planificación de Capacitación a Usuarios que usarán el sistema, adicional sumar a las gerencias</t>
  </si>
  <si>
    <t>Seguimiento y Monitoreo</t>
  </si>
  <si>
    <t>Dar seguimiento al plan de Capacitación, monitoreo de uso del aplicativo</t>
  </si>
  <si>
    <t>Eleboración de Acta de Cierre</t>
  </si>
  <si>
    <t>Cierre de mes, cargar retenciones de quimpac, quimitransport, registrar cheques diferidos, cheques d6, realizar reporte de contado, de retenciones, etc.</t>
  </si>
  <si>
    <t>CESAR JAVIER LOPEZ PINARGOTE</t>
  </si>
  <si>
    <t>Proyeccion Diciembre</t>
  </si>
  <si>
    <t>Elaborar la proyección del mes de diciembre</t>
  </si>
  <si>
    <t>ANA LUCIA GODOY CARDENAS</t>
  </si>
  <si>
    <t>CONCILIACION BANCARIA PRODUBANCO</t>
  </si>
  <si>
    <t>RECLASIFICACION HUMANA</t>
  </si>
  <si>
    <t>Inconveniente sistema evolution</t>
  </si>
  <si>
    <t>Estimados,
Por favor su ayuda, estoy trabajando en el sistema evolution y aparece el siguiente mensaje.</t>
  </si>
  <si>
    <t>Estimados,  Por favor su ayuda, estoy trabajando en el sistema evolution y aparece el siguiente mensaje.</t>
  </si>
  <si>
    <t>Estimado Jorge,
El documento sap 1290343231 aun no está contabilizado, por lo que corresponde primero contabilizar y ver si arroja un error.
Este es el flujo de documentos que muestra el proceso incompleto:</t>
  </si>
  <si>
    <t>Implementación de Proyecto de Reembolso de Gastos con Tarjeta</t>
  </si>
  <si>
    <t>Buenas tardes,
Estimados Gerentes,
Conforme al proceso de implementación del nuevo sistema de Reembolso\Gastos de Tarjeta de Crédito desarrollado en conjunto con el equipo del Departamento Financiero, solicitamos amablemente un espacio en su agenda para realizar una breve socialización y demostración del flujo completo del proceso.
Esta nueva herramienta permitirá:
Mejorar la trazabilidad de los registros,
Eliminar el uso de documentos fisicos,
Agilizar y estandarizar el proceso de registro de facturas,
Y facilitar su integración con el sistema SAP.
Quedamos atentos a su disponibilidad, o en su defecto, proponemos realizar esta reunión el miercoles a las 11:00 a.m. o el jueves a las 11:00 a.m.
Agradecemos de antemano su tiempo y colaboración.
Saludos.</t>
  </si>
  <si>
    <t>Proyectos\Mejoras</t>
  </si>
  <si>
    <t>Envío de Politica a usuario</t>
  </si>
  <si>
    <t>Buenas tardes,
Estimada Amparito,
En base a los procesos que hemos revisado y con el objetivo de dar avance al proyecto, te comparto el borrador de la política de los procesos que hemos visto en el sistema, para que puedas revisarlo y realizar las mejoras necesarias.
La finalidad es contar con la información validada a la brevedad, de manera que podamos capacitar a los usuarios, conforme a lo coordinado en la última reunión.
En caso de tener alguna observación o duda, por favor indícamelo.
Saludos.</t>
  </si>
  <si>
    <t>Finalizado</t>
  </si>
  <si>
    <t>Eleaboración de Presentación</t>
  </si>
  <si>
    <t>lbarreto</t>
  </si>
  <si>
    <t>2026-01-06T08:30</t>
  </si>
  <si>
    <t>Seguimiento a desarrollo de política de proceso de reembolso de gastos</t>
  </si>
  <si>
    <t>GILDA MARILIN ECHEVERRIA CEDE�O</t>
  </si>
  <si>
    <t>2026-01-16T11:52</t>
  </si>
  <si>
    <t>Se indica por parte del usuario que se tendrá el borrador de la política del proceso el 22/01/2026</t>
  </si>
  <si>
    <t>JULIO LUIS EGAS MENDOZA</t>
  </si>
  <si>
    <t>2026-01-22T09:55</t>
  </si>
  <si>
    <t>Planificación de reunión es de Capacitación Semana del 12/1/2025</t>
  </si>
  <si>
    <t>Se programo capacitación con usuarios que usaran los procesos de Caja Chica\Asistentes del sistema de gastos reembolsos, por confirmar reunión con gerencias y personal de ventas.</t>
  </si>
  <si>
    <t>2026-01-16T20:41</t>
  </si>
  <si>
    <t>Capacitación Procesos del Módulo Caja Chica</t>
  </si>
  <si>
    <t>Se inicia proceso de capacitación del Módulo Caja Chica  el 13/1/2026 3:00 pm</t>
  </si>
  <si>
    <t>2026-01-13T21:58</t>
  </si>
  <si>
    <t>Capacitación Procesos del Módulo Caja Chica #2</t>
  </si>
  <si>
    <t>Se inicia proceso de capacitación del Módulo Caja Chica  el 14/1/2026 10:00 am</t>
  </si>
  <si>
    <t>2026-01-14T10:00</t>
  </si>
  <si>
    <t>Capacitación Procesos del Módulo Reembolsos de Vendedores #3</t>
  </si>
  <si>
    <t>Se inicia proceso de capacitación del Módulo Reembolsos de Vendedores el 15/1/2026 13:00 pm</t>
  </si>
  <si>
    <t>2026-01-15T15:01</t>
  </si>
  <si>
    <t>Aprobación de Matriz SOC de Finanzas</t>
  </si>
  <si>
    <t>Aprobación de Matriz SOC de Finanzas, se requiere espacio para ver temas</t>
  </si>
  <si>
    <t>CONCILIACIONES BANCARIAS DE LOS 10 BANCOS</t>
  </si>
  <si>
    <t>Implementación de Mejoras de Procesos Bodega de Repuestos - Impresión de etiquetas</t>
  </si>
  <si>
    <t>Solicitud de Reunión  Revisión de  Proyecto de Mejora para Bodega de Repuestos</t>
  </si>
  <si>
    <t>AnteProyecto</t>
  </si>
  <si>
    <t>Actualmente tenemos varios cambio dentro del modulo MM que se desean implementar en el sistema, las cuales comparto:</t>
  </si>
  <si>
    <t>Punto 1)
Mover columnas  en visualización de columnas en pantalla de reservas.</t>
  </si>
  <si>
    <t>Actualmente tenemos varios cambio dentro del modulo MM que se desean implementar en el sistema, las cuales comparto:stema SAP, adjunto medidas:</t>
  </si>
  <si>
    <t>Punto 2) 
Impresión de Etiquetas en el siguiente formato desde el Sistema SAP, adjunto medidas:</t>
  </si>
  <si>
    <t>Dentro de los pasos a realizar se tiene un espacio con el personal de Quimpac Perú</t>
  </si>
  <si>
    <t>La reunión para el martes 06/01/2026 a las 10:00 am y agregar a los usuarios de bodega .</t>
  </si>
  <si>
    <t>Se entrega Documentación por parte del personal de bodega para continuar con el proceso de cotización y desarrollo</t>
  </si>
  <si>
    <t>JACOBO FELIPE CABADA MERELO</t>
  </si>
  <si>
    <t>2026-01-08T11:46</t>
  </si>
  <si>
    <t>Planificación de reunión para elaboración de cotización con proveedores.</t>
  </si>
  <si>
    <t>2026-01-14T08:46</t>
  </si>
  <si>
    <t>Mensaje de error en consumo reserva de producto controlado QAS</t>
  </si>
  <si>
    <t>[The job succeeded.] SQL Server Job System: 'Backup diario Hra_Prod' completed on \\SRV-EVOLUTION1\SRVEVOLUTION1.</t>
  </si>
  <si>
    <t>Se realizó escalamiento con Jorge Guerrero, se esta pendiente de avances con respecto a la ejecución de Job, de momento se esta realizando el tema manual  de copiar y subir el backup</t>
  </si>
  <si>
    <t>Se realizó escalamiento con Jorge Guerrero, se esta pendiente de avances con respecto a la ejecución de Bat, de momento se esta realizando el tema manual  de copiar y subir el backup</t>
  </si>
  <si>
    <t>JORGE GUERRERO</t>
  </si>
  <si>
    <t>2026-01-08T21:26</t>
  </si>
  <si>
    <t>ESTADO DE RETENCIONES</t>
  </si>
  <si>
    <t>Estimado @Jorge Chavez,
Solicito su apoyo para validar el estado de las retenciones que detallo a continuación. Actualmente se presentan las siguientes inconsistencias:
En SAP las retenciones se reflejan con estado RECHAZADO.
En el visor interno aparecen con estado REGISTRADA.
Al consultar directamente en la página del SRI, las retenciones constan como emitidas y autorizadas.
Agradezco su gestión para revisar esta discrepancia entre los sistemas y confirmar cuál es el estado correcto, así como las acciones necesarias para que la información se muestre de manera consistente en SAP.</t>
  </si>
  <si>
    <t>Desarrollo de proceso Descarga de Facturas de Compra en Formato XML</t>
  </si>
  <si>
    <t>Atrasada</t>
  </si>
  <si>
    <t>Automatizaciones</t>
  </si>
  <si>
    <t>Listado Clientes Sistema SAP</t>
  </si>
  <si>
    <t>Estimado Jorge.
Nos puedes ayudar con el listado de cliente que está registrado en el SAP por parte de comercial, el mismo debe tener la información de la dirección completa. Esto nos servirá para evaluar los sectores critico por tema de delincuencia.
Saludos</t>
  </si>
  <si>
    <t>Se atendio el tema y se procede con el cierre dle ticket</t>
  </si>
  <si>
    <t>2026-01-08T21:22</t>
  </si>
  <si>
    <t>AUTOMATIZACIÓN REPORTE EPMAPS</t>
  </si>
  <si>
    <t>Para la elaboración de los reportes solicitados por los clientes, se utiliza un formato previamente acordado con los clientes. Sin embargo,
para llegar a dicho formato final, actualmente es necesario extraer información desde dos transacciones diferentes. Debido a la
operatividad del proceso y la necesidad de realizar este trabajo manualmente para varios clientes, este procedimiento puede tardar
más de dos días laborables al cierre de mes.
Dado que se trata de una tarea manual, también es necesaria una segunda revisión antes de enviar el reporte al cliente, lo que
incrementa el tiempo y el riesgo de errores.
A continuación, se detalla el proceso actual y los cambios solicitados, con el fin de que el usuario pueda obtener la información de
manera automática a través de la transacción ZPPCIL05N.</t>
  </si>
  <si>
    <t>Envío de estimación de proceso al usuario</t>
  </si>
  <si>
    <t>Se comentopor parte de los usuarios que el rubro sera ubicado en presupuesto base cero del mes de Enero2026</t>
  </si>
  <si>
    <t>Reunión de entendimiento</t>
  </si>
  <si>
    <t>Se realizó reunión de entendimiento del proceso el día 7/1/2025 para elaborar informe que debe presentarse a la GG</t>
  </si>
  <si>
    <t>DIEGO ANDRES MORAN VEGA</t>
  </si>
  <si>
    <t>2026-01-07T08:48</t>
  </si>
  <si>
    <t>Reunión con Gerencia General</t>
  </si>
  <si>
    <t>Proyecto descartado por la Gerencia General, se requiere elborar un sistema integral que ocntenga todos los procesos en la Gestión de Cilindors</t>
  </si>
  <si>
    <t>2026-01-09T20:38</t>
  </si>
  <si>
    <t>Sistema SAP: Modulo de Compras: Implementación de Procesos de Alertas al Generar un Orden de Compra</t>
  </si>
  <si>
    <t>SE REQUIERE UBICAR UNA VALIDACIÓN EN EL SISTEMA SAP AL MOMENTO DE GENERAR ORDENES DE COMPRA, EL SISTEMA DEBERA SOLICITAR INFORMACIÓN SI LA OC NECESITA CONTRATO, LAS ALAERTAS MOSTRADAS SERAN INFORMATIVAS(SANDRA VERA\ISABEL RUGEL)</t>
  </si>
  <si>
    <t>Presupuesto de Enero 2026</t>
  </si>
  <si>
    <t>Se ubico rubro en presu´puesto base cero del mes de Enero 2026</t>
  </si>
  <si>
    <t>Analisis de cambio a aplicar por parte del consultor del modulo MM</t>
  </si>
  <si>
    <t>SANDRA MATILDE VERA CARRERA</t>
  </si>
  <si>
    <t>2026-01-14T09:48</t>
  </si>
  <si>
    <t>Solicitud de documentar todo el proceso actual y nuevo por parte del consultor del modulo MM(Ramon Tomaylla)</t>
  </si>
  <si>
    <t>Se indica por el consultor del modulo que requiere que se documente todo el proceso desde que inicia en el área de compras, finanzas y tesorería, mientra no se documente no se dará la aprobación para el cambio y no se generará la OT correspondiente.</t>
  </si>
  <si>
    <t>ISABEL MARITZA RUGEL CHAVEZ</t>
  </si>
  <si>
    <t>2026-01-14T12:28</t>
  </si>
  <si>
    <t>Sistema SAP: Modulo de Crédito y Cobranzas Actualización de procsos de Liberación de Pedidos de Contado</t>
  </si>
  <si>
    <t>SE REQUIERE DESARROLLAR EN EL SISTEMA SAP UN NUEVO PROCESO QUE PERMITA LIBERAR SOLO  PEDIDOS DE CONTADO AL USUARIO QEVENTAGYE (CESAR LOPEZ) HASTA UN MONTO DE $3000, ACTUALMENTE ESTE PROCESO NO ESTA DESARROLLADO PARA UN TIPO DE PEDIDO EN ESPECIFICO(ISABEL RUGEL\VERONICA ANCHUNDIA)</t>
  </si>
  <si>
    <t>Se retoma proceso de actividades desde el 16/2/206</t>
  </si>
  <si>
    <t>2026-02-20T22:01</t>
  </si>
  <si>
    <t>Se ubico rubro en presupuesto base cero del mes de Enero 2026</t>
  </si>
  <si>
    <t>Se tiene programada reunión con Roberto Sifuentes para revisión de pasos del desarrollo con Roberto Sifuentes y poder liberar la OT del Desarrollo</t>
  </si>
  <si>
    <t>Se tiene programada reunión con Roberto Sifuentes para revisión de pasos del desarrollo con Roberto Sifuentes y poder liberar la OT del Desarrollo, reunión Lunes 12/1/2025</t>
  </si>
  <si>
    <t>2026-01-12T20:44</t>
  </si>
  <si>
    <t>Desarrollo de cambios en el  Sistema SAP por parte de Quimpac Perú</t>
  </si>
  <si>
    <t>Desarrollo de cambios en el  Sistema SAP por parte de Quimpac Perú(Roberto Sifuentes) entrega viernes 23/01/2026</t>
  </si>
  <si>
    <t>2026-01-23T10:24</t>
  </si>
  <si>
    <t>Implementación de Sistema de Oportunidades de Mejoras</t>
  </si>
  <si>
    <t>IMPLEMENTACION DE PLATAFORMA DE OPORTUNIDAD DE MEJORAS</t>
  </si>
  <si>
    <t>Se realizo cambio en la plataforma post revisión con usuarios</t>
  </si>
  <si>
    <t>Se ejecuto el pase al ambiente producción</t>
  </si>
  <si>
    <t>Plan de Capacitación</t>
  </si>
  <si>
    <t>Eleboración del plan de capacitación e inducción a usuarios en el uso de la plataforma</t>
  </si>
  <si>
    <t>2026-01-07T09:15</t>
  </si>
  <si>
    <t>2026-01-07T09:19</t>
  </si>
  <si>
    <t>Elaboración del plan de capacitación e inducción a usuarios en el uso de la plataforma, en espera del cronograma</t>
  </si>
  <si>
    <t>2026-01-09T11:49</t>
  </si>
  <si>
    <t>Se indica por parte del usuario que se esta eleborando el video de socialización con el departamento de TTHH, se espera tener el video instructivo el 30/1/2026</t>
  </si>
  <si>
    <t>2026-01-30T10:04</t>
  </si>
  <si>
    <t>Reunión de Capacitación a Usuario #1</t>
  </si>
  <si>
    <t>Reunión de Capacitación a Usuario #1 Ventas Internas\Producción\Lógistica</t>
  </si>
  <si>
    <t>2026-01-09T14:44</t>
  </si>
  <si>
    <t>Reunión de Capacitación a Usuario #2</t>
  </si>
  <si>
    <t>Reunión de Capacitación a Usuario #1 Ventas Internas\Producción\Lógistica, se planifica segunda reunión para el día Lunes 12/1/2026</t>
  </si>
  <si>
    <t>2026-01-12T14:45</t>
  </si>
  <si>
    <t>Reunión de Capacitación del uso de la plataforma a usuarios #2</t>
  </si>
  <si>
    <t>Se realizó reunión de capacitación #1 este día a personal de Ventas Internas\Producción\Lógistica, se planifica segunda reunión para el día Lunes 12/1/2026, la invitación será enviada por Carla Quijano.</t>
  </si>
  <si>
    <t>VERONICA DEL PILAR TULCAN AYALA</t>
  </si>
  <si>
    <t>2026-01-12T16:23</t>
  </si>
  <si>
    <t>Implementación de Proyecto de Sistemas de Control de Visitas</t>
  </si>
  <si>
    <t>Seguimiento Pruebas de Funcionamiento Control de Visitas</t>
  </si>
  <si>
    <t>Realizar Seguimiento al usuario en el funcionamiento de la plataforma</t>
  </si>
  <si>
    <t>SE envía correo de seguimiento al usuario que lleva el proyecto el 5/1/2026 consultando el estado del proyecto, en el caso del área de sistemas no se tiene nada pendiente.</t>
  </si>
  <si>
    <t>JENIFFER ELVIRA ORDE�ANA ZAMBRANO</t>
  </si>
  <si>
    <t>Cierre de ticket</t>
  </si>
  <si>
    <t>Cierre de ticket, se valido envío de datos por medio del APi al sistema de control de visitas.</t>
  </si>
  <si>
    <t>2026-01-08T11:42</t>
  </si>
  <si>
    <t>Tareas de Seguimiento al Proyecto Pendientes de Ejecutar, realizar seguimeinto al usuario</t>
  </si>
  <si>
    <t>Seguimiento de Pruebas de Usuario
Seguimiento de Pruebas de Areas
Implementación 
Capacitación
Seguimiento y Uso</t>
  </si>
  <si>
    <t>2026-01-19T11:16</t>
  </si>
  <si>
    <t>Seguimiento de Proyecto de Implementación Gaia</t>
  </si>
  <si>
    <t>Seguimiento de Proyecto de Implementación Gaia Comercial</t>
  </si>
  <si>
    <t>Seguimiento de Propuestas y afinación de alcance</t>
  </si>
  <si>
    <t>Seguimiento y afinación de alcance entre los requisistos que esta soliciotando el usuario</t>
  </si>
  <si>
    <t>REGISTRO DE FACTURAS Y CIERRE CONTABLE CUENTAS POR PAGAR</t>
  </si>
  <si>
    <t>CONCILIACIONES BANCARIas</t>
  </si>
  <si>
    <t>Carga de Facturas de compras en Formato XML en sistema Sili</t>
  </si>
  <si>
    <t>En espera de equipo que cuentes con los permisos y accesos para poder ejecutar las autoatizaciones que se desarrollaron en Power Automate</t>
  </si>
  <si>
    <t>Carga de Retenciones de Facturas de  Venta en Formato XML en el Sistema SAP</t>
  </si>
  <si>
    <t>Carga de Facturas de compras en Formato XML en el Sistema SAP</t>
  </si>
  <si>
    <t>Descarga de Proveedores del Sistema SAP y sincronización en Sistema Sili</t>
  </si>
  <si>
    <t>Desarrollo de una herramienta que permita la reimpresión de etiquetas de cilindros de cloro</t>
  </si>
  <si>
    <t>Se esta realizando ajustes en procesos de roles y opciones que pueden ver los mismos</t>
  </si>
  <si>
    <t>Automatizaciones Área Financiera - Crédito y Cobranzas</t>
  </si>
  <si>
    <t>Actualmente se esta realizando un entendimiento de procesos del área de credito y cobranzas con la finalidad de verificar sus procesos y definir alcances como su metodología de desarrollo</t>
  </si>
  <si>
    <t>Reunión de exploración con usuario</t>
  </si>
  <si>
    <t>Se realizo reunión con el key user del área, se validaron procesos y se identifico necesidades. esta pendiente coordinar una segunda reunión de levantamiento de información de procesos</t>
  </si>
  <si>
    <t>2026-01-05T08:46</t>
  </si>
  <si>
    <t>Reunión de exploración con usuario, pendiente segunda reunión de procesos</t>
  </si>
  <si>
    <t>2026-01-16T08:47</t>
  </si>
  <si>
    <t>Reunión de exploración con usuario Gilda Ech. procesos de Importación</t>
  </si>
  <si>
    <t>2026-01-09T22:11</t>
  </si>
  <si>
    <t>Se requiere entender el proceso con el usuario operativo para un mayor entendimiento</t>
  </si>
  <si>
    <t>2026-01-14T22:12</t>
  </si>
  <si>
    <t>Sistema SAP: Implementación de Proceso de Control de Fuerzas Armadas</t>
  </si>
  <si>
    <t>Seguimiento Pase post producción y firma de acta de cierre</t>
  </si>
  <si>
    <t>2026-02-20T21:58</t>
  </si>
  <si>
    <t>Se realiza reunión para pruebas con el personal de compras y producción el día 8/1/2025</t>
  </si>
  <si>
    <t>EVELYN JACQUELINE ESPINOZA ORQUERA</t>
  </si>
  <si>
    <t>2026-01-08T08:52</t>
  </si>
  <si>
    <t>Se encontro una observación en el tercer proceso de Producción, no se encuentra aperturado contablemente el año 2026 en el ambiente SAP y no se puede continuar con la prueba con el usuario Nicole Erazo, se cordino con Estebab Rios la apertura en ese modulo</t>
  </si>
  <si>
    <t>Se encontro una observación en el tercer proceso de Producción, no se encuentra aperturado contablemente el año 2026 en el ambiente SAP y no se puede continuar con la prueba con el usuario Nicole Erazo, se coordino con Estebab Rios la apertura en ese ambiente, y poder continuar con las prueba de usuarios</t>
  </si>
  <si>
    <t>NICOLE ANDREA ERAZO WELLINGTON</t>
  </si>
  <si>
    <t>2026-01-09T12:49</t>
  </si>
  <si>
    <t>Se programa pase de ultimo cambio visto en los procesos de compras de material el 12/1/2025</t>
  </si>
  <si>
    <t>Se programa pase de último cambio visto en los procesos de compras e importaciones el 12/1/2025, posterior se solicitará al personal de compras valide nuevamente.</t>
  </si>
  <si>
    <t>2026-01-12T20:47</t>
  </si>
  <si>
    <t>Sistema SAP:  Modulo de Crédito - Implementar proceso de regularización de los acuerdos extraoficiales de clientes (dias credito)</t>
  </si>
  <si>
    <t>Regularizar los acuerdos extraoficiales de clientes (dias credito)</t>
  </si>
  <si>
    <t>Elaboración y Aceptación de proceso de acuerdos extraoficiales</t>
  </si>
  <si>
    <t>Se finalizo el proceso y se espera reunión con usuario para poder dar aceptación al proceso documentado.</t>
  </si>
  <si>
    <t>2026-02-20T21:56</t>
  </si>
  <si>
    <t>Respuesta de Esteban Rios consultor del modulo SD del Sistema SAP</t>
  </si>
  <si>
    <t>Se espera ok del consultor para poder continuar con el proyecto o darlo por cerrado</t>
  </si>
  <si>
    <t>2026-01-14T08:56</t>
  </si>
  <si>
    <t>Se espera ok del consultor para poder continuar con el proyecto o evaluar comentarios respecto al proceso</t>
  </si>
  <si>
    <t>Esteban Rios</t>
  </si>
  <si>
    <t>2026-01-09T12:34</t>
  </si>
  <si>
    <t>Se finalizo el levantamiento de información del roceso, se elabora Acta de Constitución del proyecto y se enviará al usuario para ssu firma</t>
  </si>
  <si>
    <t>2026-02-24T07:23</t>
  </si>
  <si>
    <t>Sistema QPSIDE: Modulo de Facturación Liquidación de Pedidos Masiva en base a # de guías de remisión emitidas</t>
  </si>
  <si>
    <t>Se requiere cargar un Excel con el número de
guías, para enviar masivamente a liquidar
desde la opción de Liquidación de pedidos muy
similar a como hacen la facturación masiva por
medio de carga de archivo de Excel, Se debe de
validar los números de guía que si no existe
alguna que alerte y detenga para poder volver
el cargar el archivo, validar también la
duplicidad de una guía para que así mismo
alerte y detenga el proceso y que tenga que
volver a cargar el archivo. Generar el resultado
al final de la carga.</t>
  </si>
  <si>
    <t>Solicitud de reunión</t>
  </si>
  <si>
    <t>Solicitud de reunión de analisis del proceso solicitado</t>
  </si>
  <si>
    <t>SANDRA ELIZABETH ORTEGA GRANIZO</t>
  </si>
  <si>
    <t>Se solicito espacio para revisar proceso y entender el requerimiento del usuario, fecha tentativa 12/1/2025, 2:00 pm</t>
  </si>
  <si>
    <t>Sistema QPSIDE: Modulo de Emisión de Documentos Electrónicos( Anulación de Facturas de Ventas sin afectación de Orden de Compra)</t>
  </si>
  <si>
    <t>Se requiere que se pueda Anular una factura
sin que modifique, o anule la orden de compra
relacionada, pero que, si reverse la liquidación
y los pedidos al estado anterior a FACTURADO,
para después volver a facturar, para este caso
solo debe de permitir a un rol del sistema no a
cualquiera</t>
  </si>
  <si>
    <t>Se realizó reunión de entendimiento del cambio y se esta en proceso de documentar el acta de constitución del proyecto, fecha de entrega martes 13/1/2025 por parte de los usuarios(Sandra Ortega)</t>
  </si>
  <si>
    <t>Sistema QPSIDE: Implementación de alertas y envío de notificaciones de seguimiento de ingreso de Factura de Compras</t>
  </si>
  <si>
    <t>-Implementar correo de
notificaciones, al proveedor a partir del
segundo y tercer día de emitida la
Orden de Compra,
- Crear un job para que sense cada 3
dias y envie la notificación al proveedor
ya que la política de compra es recibir
la factura de compra en 3 días hábiles.
- El formato de correo debe ser enviado
por el usuario Yolanda Domínguez,
enviado el correo de debe mantener en
copia a
mdominguez@quimitransport.com.ec.</t>
  </si>
  <si>
    <t>Elaboración de levantamiento de información del proceso</t>
  </si>
  <si>
    <t>Sistema QPSIDE: Modulo de Cuentas por Pagar\Ingreso de Docuento, asociación masiva de facturas de compra por una Orden de Compra</t>
  </si>
  <si>
    <t>- En la pantalla de ingreso de
documento, al cargar el xml debe de ir
a validar que este asociado con una o
mas ordenes de compra, caso contrato
debe de permitir elegir una o mas
ordenes de compras de un mismo
proveedor, al momento de elegir el
boton de buscar orden de compra
 - Una vez elegido los productos ya
asociados debe de cargar
automaticamente el % del IVA
 - Al agregar las seleccionadas debe
de cargar en el detalle de la factura los
ítems de cada una de las OC.
Automáticamente en base al código del
producto si ya el proveedor tiene en la
ficha de proveedor, debe de cargada el
código de la retención y el porcentaje
iva para que ya el usuario se ahorre ese
tiempo</t>
  </si>
  <si>
    <t>Sistemas QPSIDE: Modulo de Compras - Asociación de Factura de Compra al generar la OC para servicios de mantenimiento</t>
  </si>
  <si>
    <t>Se requiere que, en la pantalla orden de
compra y en orden de comprar por proveedor,
se asocie la factura emitida por el proveedor,
desde el xml, para que quede asociado la
orden de compra con el numero de la factura,
de tal forma que cuando se cargue la factura
en la pantalla de ingreso de documentos
automáticamente encuentre la Orden de
compra y lo cargue. Aquí puede asociarse mas
de una orden de compra a la misma factura.</t>
  </si>
  <si>
    <t>Se requiere que en el comprabante de egreso se genere el registro cheque en la nueva pantalla cuando se pague con cheque</t>
  </si>
  <si>
    <t>- Para resolver este requerimiento
primero se debe de realizar cambio en
la pantalla de comprobante de egreso,
para que genere registros de cheques.
 - Se debe de parametrizar las formas
de pago, para que genere cheque
 - Realizar las pruebas de cheque
 - Realizar conciliación bancaria para
que las pruebas sean completas.
 - Actualizar los registros de egresos
con las nuevas formas de pago por base
de datos.
 - Reporteria de estado de cuenta
proveedor revisar que funcione bien</t>
  </si>
  <si>
    <t>Monitoreo de Uso del Modulo Garantías y Pólizas</t>
  </si>
  <si>
    <t>Se envía correo de monitoreo de Uso del Modulo Garantías y Pólizas al área de compras</t>
  </si>
  <si>
    <t>2026-01-16T12:40</t>
  </si>
  <si>
    <t>CIERRE ML DICIEMBRE 2025</t>
  </si>
  <si>
    <t>Se esta ejecutó proceso en el sistema SAP PRO, se comunica al usuario su finalización.</t>
  </si>
  <si>
    <t>CHRIS ALEXANDRA REYES VILELA</t>
  </si>
  <si>
    <t>2026-01-12T21:33</t>
  </si>
  <si>
    <t>Aplicación de mejoras en el Sistema SAP Comercial</t>
  </si>
  <si>
    <t>Seguimiento a procesos de mejora del área de comercial</t>
  </si>
  <si>
    <t>Seguimiento de procesos de la mejora</t>
  </si>
  <si>
    <t>Reportes automáticos de EPMAPS: Cerrado.
Desarrollo para control de Ordenes de compra en SAP: Cerrado.
Ticket para revisión Alerta pedido Sap posición envase en venta: Seguimiento de validación de caso con QP Perú y Usuario el día 5/1/2025 a las 2:00 pm.
Solicitud ingreso de pedido tipo de envase automático y alerta en variación de cantidad según presentación: Pruebas  pendientes en el ambiente SAP QAS a cargo de Jimmy Ubilla y Melani Quispe(Si las pruebas están OK se pasa a SAP PRO)
Acción de mejora para el control de stock de facturas anticipadas: Se indicó al usuario solicitante que el proceso no puede ser llevado a cabo por el estándar del sistema SAP PRO y no es un proceso viable, indicaciones dadas por QP Perú.
Anexo de requerimientos de cliente en entrega: Elaboración de matriz consolidada por parte de logística y comercial.</t>
  </si>
  <si>
    <t>2026-01-16T21:59</t>
  </si>
  <si>
    <t>Creación de nuevas paltaformas de OM</t>
  </si>
  <si>
    <t>El usuario se encuentra en un plan de capacitación y socialización de la plataforma a la empresa, por parte de sistemas se esta dando el acompañamiento, mejoras adicionales seran contempladas como un alcance.</t>
  </si>
  <si>
    <t>2026-01-20T10:19</t>
  </si>
  <si>
    <t>Automatización: Desarrollos GAIA</t>
  </si>
  <si>
    <t>En elaboración de levantamiento de procesos de lo solicitado por el usuario, y validaciones de sistemas con proveedores.</t>
  </si>
  <si>
    <t>2026-01-31T10:20</t>
  </si>
  <si>
    <t>Automatización de Reportes de Mantenimiento de Cilindros(Cliente Emmaps)</t>
  </si>
  <si>
    <t>Proceso cancelado por la gerencia general, se indico que se levante todo el proceso de gastión de cilindros y se cree un solo sistema que considere todas las etapas.</t>
  </si>
  <si>
    <t>2026-01-20T10:22</t>
  </si>
  <si>
    <t>Desarrollo en el sistema sap para control de Ordenes de compra en SAP</t>
  </si>
  <si>
    <t>Proceso cancelado por la gerencia general.</t>
  </si>
  <si>
    <t>JOHANA ELIZABETH SANDOVAL CUEVA</t>
  </si>
  <si>
    <t>FACTURAS SIN ORDEN DE COMPRA</t>
  </si>
  <si>
    <t>Estimado @Jorge Chavez
Aún no aparece las ordenes de compra de las siguientes facturas de venta 
001-107-000000226
001-107-000000227
001-107-000000228
001-109-000000239
001-109-000000242
001-109-000000253</t>
  </si>
  <si>
    <t>Se agenda seguimiento y soporte para el día 12/1/2025</t>
  </si>
  <si>
    <t>2026-01-12T22:04</t>
  </si>
  <si>
    <t>Seguimiento de caso</t>
  </si>
  <si>
    <t>El usuario no puede compartir temas de dashboard por temas de licencia, se pidio a Jorge Guererro poder asignar una licecia al usuario(Mquisoe) para poder realizar pruebas nuevamente, posterior se debe validar el tema de actualización automatica de la información en el BI</t>
  </si>
  <si>
    <t>MELANY ANDREA QUISPE GONZALEZ</t>
  </si>
  <si>
    <t>2026-01-12T22:02</t>
  </si>
  <si>
    <t>Actualización de Tarea</t>
  </si>
  <si>
    <t>Se activo licencia de PowerBI  al usuario MQuispe, se compartio por el usuario que el archivo al personal de comercial como se solicitó, se realizará monitoreo para ver  procesos.</t>
  </si>
  <si>
    <t>2026-01-12T21:53</t>
  </si>
  <si>
    <t>Verificar proceso de sincronización de información   Aut. de información de Dashboard</t>
  </si>
  <si>
    <t>Verificar proceso de sincronización  de información Aut. de información de Dashboard, se requiere ver proceso que permita actualizar la información sin necesidad de ejecutar la acción por el usuario</t>
  </si>
  <si>
    <t>2026-01-16T21:55</t>
  </si>
  <si>
    <t>Orden de Compra Proyecto Segregación de Funciones - Quimpac Ecuador</t>
  </si>
  <si>
    <t>Notificación Orden Compra - Realizar Seguimeinto de aprobación o solictar contrato a QP PErú</t>
  </si>
  <si>
    <t>Se requiere un documento firmado de la estimación para la entrega al área de compras como el # de presupuesto base cero</t>
  </si>
  <si>
    <t>2026-01-12T22:10</t>
  </si>
  <si>
    <t>Automatización de reportes en Power BI</t>
  </si>
  <si>
    <t>Mejora de dashboard del área de logistica</t>
  </si>
  <si>
    <t>Actualmente el proceso es manual en la carga de información al dashboard, se requiere validar transacciones sap que intervienen en el proceso de armado del reporte que se construye y es el que se sube a power bi, actualmente se esta definiendo las transacciones y layout</t>
  </si>
  <si>
    <t>JIMMY ALEX UBILLA SALVATIERRA</t>
  </si>
  <si>
    <t>2026-01-20T14:56</t>
  </si>
  <si>
    <t>Observaciones QPSIDE</t>
  </si>
  <si>
    <t>Observaciones QPSIDE - Verificar Cambios en el reporte de tributaciones</t>
  </si>
  <si>
    <t>Se requiere desplegar el  ear con los cambios del reporte en el ambiente desarrollo del sistema QPSIDE</t>
  </si>
  <si>
    <t>2026-01-12T22:14</t>
  </si>
  <si>
    <t>Aceptación Matriz SOC</t>
  </si>
  <si>
    <t>Estimados, buenas tardes:
Según lo conversado el día de ayer, hemos concluido las reuniones de entendimiento del proyecto de Segregación de Funciones. Como resultado, se han diseñado las matrices SOD correspondientes a los distintos módulos de SAP.</t>
  </si>
  <si>
    <t>Pendiente Seguimiento a la aceptación de la matríz enviada del área de finanzas</t>
  </si>
  <si>
    <t>2026-01-13T22:06</t>
  </si>
  <si>
    <t>Aceptación de Matriz por parte de las áreas</t>
  </si>
  <si>
    <t>Nombre	Responsable	Respuesta
Química y Sales - Matriz SoD - Calidad	Dower Tutiven	Ok
Química y Sales - Matriz SoD - Logística	Jimmy Ubilla	Ok
Química y Sales - Matriz SoD - Mantenimiento	Oscar Aguirre	Ok
Química y Sales - Matriz SoD - Recursos Humanos	David Cianca	Ok
Química y Sales - Matriz SoD - Ventas y Distribución	Robert Vargas	Ok</t>
  </si>
  <si>
    <t>2026-01-13T22:07</t>
  </si>
  <si>
    <t>Seguimiento al proceso de geneación de orden de compra para pago al proveedor</t>
  </si>
  <si>
    <t>Seguimiento al proceso de geneación de orden de compra para pago al proveedor, se requiere contrato por parte del área de compras, # presupuesto base cero</t>
  </si>
  <si>
    <t>2026-01-16T22:08</t>
  </si>
  <si>
    <t>Levantamiento de Procesos: Gestión de Recepción\Llenado\Mantenimiento y Despacho de Cilindros</t>
  </si>
  <si>
    <t>Se requiere documentar el proceso de gestión de cilindros de cloro en las etapas de recepción\Llenado\Mantenimiento y Despacho de Cilindros</t>
  </si>
  <si>
    <t>Revisión de Procesos de Llenado de Cilindros de Cloro QP Perú</t>
  </si>
  <si>
    <t>Revisión de Procesos de Compras de Cilindros de Cloro</t>
  </si>
  <si>
    <t>Entendimiento de procesos de compras y su registro a SAP, vinculación con los modulos MM del sistema SAP</t>
  </si>
  <si>
    <t>Revisión de Procesos de Recepción de Cilindros de Cloro</t>
  </si>
  <si>
    <t>Revisión de Procesos de Mantenimiento de Cilindros de Cloro</t>
  </si>
  <si>
    <t>Revisión de Procesos de Llenado de Cilindros de Cloro</t>
  </si>
  <si>
    <t>Automatizaciones Área Financiera - Presupuesto</t>
  </si>
  <si>
    <t>Levantamiento de Información de Procesos</t>
  </si>
  <si>
    <t>Gestión de seguimeinto de comparativo de gastos presupuesto vs real.
La data base real del gastos de los gerentes reporte se obtiene del sistema SAP, se extrae la información que se requiere para el reporte final, este reporte se descarga posterior el cierre de mes cuando se ha contabilizado todos los movimientos, se bajan las cuentas con inicio 500..., reporte en sap transacción SL...._..._611 - Ceco: 172.77.77.10Real/Plan/Desviación.
El valor presupuestado del año en curos(2026) se ubica en el mismo archivo base en el mismo formato con ello se tiene un reporte final en formato tabla dinamica donde se puede hacer el comparativo, 
Dos procesos se realizan por el usuario:
1:Analisis de Variación de rubros
Tiempo de analisis 1 día(8 horas)
2: Construcción del Reporte final
Tiempo de construcción(2 horas)
3: Analisis de Gerencia
Se espera respuesta de gerencias de las variaciones de gastos
Si exsite una reclasificación de centro de costo se realiza el cambio solo en el archivo ya que en el sistema SAP por el cierre de mes no se puede realizar cambios, no se baja el mes modificado solo el siguiente mes( de los casos presentados tiene un tiempo estimado de 2 horas)
4: Se revisa con Gerencia Financiera
5: Se revisa con Gerencia General
Se requiere reporte automatozado.
- Presentación de variaciones por cuenta contable(Real vs Presupuestado)
- Identificación de rubros con variación 
- Analisis continuará por parte del usuario</t>
  </si>
  <si>
    <t>JULIO CESAR AVILES LINO</t>
  </si>
  <si>
    <t>Gestión de seguimeinto de comparativo de gastos presupuesto vs real. La data base real del gastos de los gerentes reporte se obtiene del sistema SAP, se extrae la información que se requiere para el reporte final, este reporte se descarga posterior el cierre de mes cuando se ha contabilizado todos los movimientos, se bajan las cuentas con inicio 500..., reporte en sap transacción SL...._..._611 - Ceco: 172.77.77.10Real/Plan/Desviación. El valor presupuestado del año en curos(2026) se ubica en el mismo archivo base en el mismo formato con ello se tiene un reporte final en formato tabla dinamica donde se puede hacer el comparativo, Dos procesos se realizan por el usuario: 1:Analisis de Variación de rubros Tiempo de analisis 1 día(8 horas) 2: Construcción del Reporte final Tiempo de construcción(2 horas) 3: Analisis de Gerencia Se espera respuesta de gerencias de las variaciones de gastos Si exsite una reclasificación de centro de costo se realiza el cambio solo en el archivo ya que en el sistema SAP por el cierre de mes no se puede realizar cambios, no se baja el mes modificado solo el siguiente mes( de los casos presentados tiene un tiempo estimado de 2 horas) 4: Se revisa con Gerencia Financiera 5: Se revisa con Gerencia General Se requiere reporte automatozado. - Presentación de variaciones por cuenta contable(Real vs Presupuestado) - Identificación de rubros con variación - Analisis continuará por parte del usuario</t>
  </si>
  <si>
    <t>CIERRE MES ENERO CESAR LOPEZ</t>
  </si>
  <si>
    <t>CIERRE MES  ENERO - REGISTRO DH Y D6 DIA 30 - RETENCIONES QUIMPAC Y QUIMITRANSPORT Y REALIZACION DE REPORTES INICIO 7AM FIN 12:30PM</t>
  </si>
  <si>
    <t>revision de  para conciliaciones de bancos</t>
  </si>
  <si>
    <t>CONCILIACION BANCO GUAYAQUIL</t>
  </si>
  <si>
    <t>SE REALIZO LA CONCILIACION DEL BANCO DE GUAYAQUIL Y A SU VEZ PARTE DE LA CONCILIACION PAGOS MASIVOS DEL BANCO PRODUBANCO QUEDANDO PENDIENTE MAS INFORMACION</t>
  </si>
  <si>
    <t>REVISION PARA ANEXO DE ANTICIPOS PROVEEDORES PARA CIERRE DE MES</t>
  </si>
  <si>
    <t>REGISTRO DE FACTURAS Y RETENCIONES</t>
  </si>
  <si>
    <t>INGRESO  DE FACTURA Y EMISION DE RETENCIONES</t>
  </si>
  <si>
    <t>INGRESO DE FACTURA
EMISION DE RETENCIONES</t>
  </si>
  <si>
    <t>Matriz Soc - Aceptación de Matriz</t>
  </si>
  <si>
    <t>Se requiere de la aceptación por parte de los usuarios  de Quimpac Ecuador de la matriz enviada por parte de QP Perú (PWC)</t>
  </si>
  <si>
    <t>Revisión Matriz SOC Calidad</t>
  </si>
  <si>
    <t>Revisión Matriz SOC Calidad - Dower Tutiven</t>
  </si>
  <si>
    <t>2026-02-20T07:16</t>
  </si>
  <si>
    <t>Revisión Matriz SOC Producción</t>
  </si>
  <si>
    <t>Revisión Matriz SOC Producción - Marcos Gaibor</t>
  </si>
  <si>
    <t>2026-02-20T07:17</t>
  </si>
  <si>
    <t>Revisión Matriz SOC Compras\Logística</t>
  </si>
  <si>
    <t>Revisión Matriz SOC Compras\Logística  (Jimmy Ubilla\Priscilla Gallegos)</t>
  </si>
  <si>
    <t>2026-02-23T07:18</t>
  </si>
  <si>
    <t>Revisión Matriz SOC Mantenimiento</t>
  </si>
  <si>
    <t>Revisión Matriz SOC Mantenimiento - Oscar Aguirre\Diego Moran</t>
  </si>
  <si>
    <t>2026-02-23T07:20</t>
  </si>
  <si>
    <t>Implementación de Mejoras en el  Proyecto de Reembolso de Gastos con Tarjeta</t>
  </si>
  <si>
    <t>Agregar Filtro de visualización de registros (Todos\CCB\Sin CCB) en pantalla.</t>
  </si>
  <si>
    <t>2026-02-09T07:27</t>
  </si>
  <si>
    <t>Actualizar nombre de columnas(Con Soporte\Sin Soporte) por texto(Base Cero\Iva).</t>
  </si>
  <si>
    <t>Ubicar como obligatorio el ingreso de adjuntos(Archivos) de los gastos que se estan registrando para reembolso. Ampliar a que todos los campos se han obligatorios.</t>
  </si>
  <si>
    <t>2026-02-09T07:28</t>
  </si>
  <si>
    <t>En el reportede reembolsos  que se genera como soporte debe contar con los registros de firma de aprobación correspondiente según cada fase.</t>
  </si>
  <si>
    <t>Agregar un Icono en la pantalla de visualizaión que indique que el registro contiene adjuntos(al dar click se visualizaran todos los adjuntos).</t>
  </si>
  <si>
    <t>2026-02-10T07:29</t>
  </si>
  <si>
    <t>Agregar un botón en la columnas acciones que signifique rechazo del gasto solamante para la vista de GG\GF con un campo de observacioes y una notificación que le llegará al Gerente dueño del gasto y se mantiene el estado de pendiente de aprobación.</t>
  </si>
  <si>
    <t>2026-02-23T07:29</t>
  </si>
  <si>
    <t>En la opción de coordinador(Amparo B.) se requiere agregar un nuevo filtro de todos los registros que estan listos(Aprobados) para el envío a SAP y los que estan pendientes de aprobación.</t>
  </si>
  <si>
    <t>2026-02-12T07:30</t>
  </si>
  <si>
    <t>Creación de nueva opción de Aprobación de Reembolsos(solo registros pendientes de aprobación)</t>
  </si>
  <si>
    <t>2026-02-19T07:30</t>
  </si>
  <si>
    <t>Se creará una nueva opción de reportes que contenga todos los resgistros de reembolsos con filtros(Tipo\Fechas\Usurios\Etc)</t>
  </si>
  <si>
    <t>2026-02-23T07:31</t>
  </si>
  <si>
    <t>Mejorar el control de los filtros para evitar que se pierdan los datos de visualización cuando iteractuas con la busqueda por filtros</t>
  </si>
  <si>
    <t>2026-02-26T07:32</t>
  </si>
  <si>
    <t>Modificar los Usuarios que actualmente utilizamos para unificarlos con el AD(Ejemplo. Actualmente el usuario de Mauricio M. es maumino, en el AD es mmino, ahora el usuario se unificará a mmino) con clave diferente</t>
  </si>
  <si>
    <t>2026-03-02T07:32</t>
  </si>
  <si>
    <t>Eliminación de filtrosy Botones de pantalla(Motivo\Reporte CSV\Proveedor\Pendientes\Tema)</t>
  </si>
  <si>
    <t>2026-03-02T07:33</t>
  </si>
  <si>
    <t>15 días se elimina del gasto sin aprobar aut. por el sistema</t>
  </si>
  <si>
    <t>2026-03-06T07:34</t>
  </si>
  <si>
    <t>PROCESO DE CIERRE MES TESORERIA</t>
  </si>
  <si>
    <t>REGISTRO DE MOV BANCARIOS</t>
  </si>
  <si>
    <t>DESCARGA DE PDF QP Y QMTP</t>
  </si>
  <si>
    <t>PLANIFICACION DE PAGOS QMT</t>
  </si>
  <si>
    <t>PLANIFICACION PAGO PROVEEDORES</t>
  </si>
  <si>
    <t>PLANIFICACION DE PAGOS QP</t>
  </si>
  <si>
    <t>ANEXO EMRF -CIERRE FEBRERO</t>
  </si>
  <si>
    <t>REVISION DE ORDENES QUE NO CUENTAN CON FACTURAS</t>
  </si>
  <si>
    <t>ALCANCE PLANIFICACION QP Y QMTP</t>
  </si>
  <si>
    <t>PLANIFICACION DE QP Y QMTP</t>
  </si>
  <si>
    <t>ANEXO EMRF Y ANEXO PROVEEDORES -CIERRE MES</t>
  </si>
  <si>
    <t>ANEXO EMRF Y ANEXO PROVEEDORES -CIERRE MESANEXO EMRF Y ANEXO PROVEEDORES -CIERRE MESANEXO EMRF Y ANEXO PROVEEDORES -CIERRE MESTERTTVFDSDFG</t>
  </si>
  <si>
    <t>REGISTRO DEBITOS QP</t>
  </si>
  <si>
    <t>REGISTRO DE PAGOS  EN LINEA, EXTERIOR, CUOTAS</t>
  </si>
  <si>
    <t>REGISTRO PAGOS AL EXTERIOR</t>
  </si>
  <si>
    <t>REGISTRO DE PAGOS AL EXTERIOR, PAGOS EN LINEA</t>
  </si>
  <si>
    <t>PAGOS DEL EXTERIOR, ALMACENERAS</t>
  </si>
  <si>
    <t>Fecha Fin</t>
  </si>
  <si>
    <t>Retraso</t>
  </si>
  <si>
    <t>Descarga de Retenciones de Facturas de  Venta en Formato XML desde el sistema SeedBilling</t>
  </si>
  <si>
    <t>MATIAS GUISSEL</t>
  </si>
  <si>
    <t>ID</t>
  </si>
  <si>
    <t>Id</t>
  </si>
  <si>
    <t>id</t>
  </si>
  <si>
    <t>Se tiene reunión con proveedor SeedBiling para ver demo de la interfaz de conexión que se puede utilizar en el proyecto(Fecha 1/4/2026)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</si>
</sst>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22" fontId="0" fillId="0" borderId="0" xfId="0" applyNumberFormat="1"/>
    <xf numFmtId="0" fontId="1" fillId="0" borderId="2" xfId="0" applyFont="1" applyBorder="1" applyAlignment="1">
      <alignment horizontal="center" vertical="top"/>
    </xf>
    <xf numFmtId="2" fontId="0" fillId="0" borderId="0" xfId="0" applyNumberFormat="1"/>
    <xf numFmtId="1" fontId="0" fillId="0" borderId="0" xfId="0" applyNumberFormat="1"/>
    <xf numFmtId="22" fontId="2" fillId="0" borderId="0" xfId="0" applyNumberFormat="1" applyFont="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226"/>
  <sheetViews>
    <sheetView tabSelected="1" topLeftCell="F1" zoomScale="50" zoomScaleNormal="50" zoomScaleSheetLayoutView="50" workbookViewId="0">
      <selection activeCell="L240" sqref="L240"/>
    </sheetView>
  </sheetViews>
  <sheetFormatPr baseColWidth="10" defaultColWidth="8.7265625" defaultRowHeight="14.5" x14ac:dyDescent="0.35"/>
  <cols>
    <col min="1" max="1" width="24" customWidth="1"/>
    <col min="2" max="2" width="93.453125" customWidth="1"/>
    <col min="3" max="3" width="94.36328125" customWidth="1"/>
    <col min="4" max="4" width="15" customWidth="1"/>
    <col min="5" max="5" width="19" customWidth="1"/>
    <col min="6" max="6" width="46.453125" bestFit="1" customWidth="1"/>
    <col min="7" max="7" width="39.08984375" customWidth="1"/>
    <col min="8" max="8" width="21" customWidth="1"/>
    <col min="9" max="9" width="46.453125" bestFit="1" customWidth="1"/>
    <col min="10" max="10" width="28.08984375" bestFit="1" customWidth="1"/>
    <col min="11" max="11" width="28.08984375" customWidth="1"/>
    <col min="12" max="12" width="21" customWidth="1"/>
    <col min="13" max="13" width="33" customWidth="1"/>
    <col min="14" max="15" width="60" customWidth="1"/>
    <col min="16" max="16" width="17" customWidth="1"/>
    <col min="17" max="17" width="36" customWidth="1"/>
    <col min="18" max="18" width="20" customWidth="1"/>
    <col min="19" max="19" width="34.6328125" customWidth="1"/>
  </cols>
  <sheetData>
    <row r="1" spans="1:19" x14ac:dyDescent="0.35">
      <c r="A1" s="1" t="s">
        <v>0</v>
      </c>
      <c r="B1" s="1" t="s">
        <v>1</v>
      </c>
      <c r="C1" s="1" t="s">
        <v>2</v>
      </c>
      <c r="D1" s="1" t="s">
        <v>3</v>
      </c>
      <c r="E1" s="1" t="s">
        <v>4</v>
      </c>
      <c r="F1" s="1" t="s">
        <v>5</v>
      </c>
      <c r="G1" s="1" t="s">
        <v>6</v>
      </c>
      <c r="H1" s="1" t="s">
        <v>7</v>
      </c>
      <c r="I1" s="1" t="s">
        <v>8</v>
      </c>
      <c r="J1" s="1" t="s">
        <v>9</v>
      </c>
      <c r="K1" s="1" t="s">
        <v>497</v>
      </c>
      <c r="L1" s="1" t="s">
        <v>10</v>
      </c>
      <c r="M1" s="1" t="s">
        <v>11</v>
      </c>
      <c r="N1" s="1" t="s">
        <v>12</v>
      </c>
      <c r="O1" s="1" t="s">
        <v>13</v>
      </c>
      <c r="P1" s="1" t="s">
        <v>14</v>
      </c>
      <c r="Q1" s="1" t="s">
        <v>15</v>
      </c>
      <c r="R1" s="1" t="s">
        <v>16</v>
      </c>
      <c r="S1" s="3" t="s">
        <v>498</v>
      </c>
    </row>
    <row r="2" spans="1:19" hidden="1" x14ac:dyDescent="0.35">
      <c r="A2">
        <v>7</v>
      </c>
      <c r="B2" t="s">
        <v>17</v>
      </c>
      <c r="C2" t="s">
        <v>18</v>
      </c>
      <c r="D2" t="s">
        <v>19</v>
      </c>
      <c r="E2" t="s">
        <v>20</v>
      </c>
      <c r="F2" t="s">
        <v>48</v>
      </c>
      <c r="G2" s="2">
        <v>45933.437326388892</v>
      </c>
      <c r="H2" s="2">
        <v>45881.645833333336</v>
      </c>
      <c r="J2" t="s">
        <v>21</v>
      </c>
      <c r="K2" s="2">
        <f>G2+4</f>
        <v>45937.437326388892</v>
      </c>
      <c r="S2" s="4">
        <f ca="1">TODAY()-G2</f>
        <v>179.56267361110804</v>
      </c>
    </row>
    <row r="3" spans="1:19" hidden="1" x14ac:dyDescent="0.35">
      <c r="A3">
        <v>8</v>
      </c>
      <c r="B3" t="s">
        <v>22</v>
      </c>
      <c r="C3" t="s">
        <v>23</v>
      </c>
      <c r="D3" t="s">
        <v>19</v>
      </c>
      <c r="E3" t="s">
        <v>20</v>
      </c>
      <c r="F3" t="s">
        <v>24</v>
      </c>
      <c r="G3" s="2">
        <v>45933.440949074073</v>
      </c>
      <c r="I3" t="s">
        <v>24</v>
      </c>
      <c r="J3" t="s">
        <v>25</v>
      </c>
      <c r="K3" s="2">
        <f t="shared" ref="K3:K21" si="0">G3+4</f>
        <v>45937.440949074073</v>
      </c>
      <c r="S3" s="4">
        <f t="shared" ref="S3:S66" ca="1" si="1">TODAY()-G3</f>
        <v>179.55905092592729</v>
      </c>
    </row>
    <row r="4" spans="1:19" hidden="1" x14ac:dyDescent="0.35">
      <c r="A4">
        <v>9</v>
      </c>
      <c r="B4" t="s">
        <v>26</v>
      </c>
      <c r="C4" t="s">
        <v>26</v>
      </c>
      <c r="D4" t="s">
        <v>27</v>
      </c>
      <c r="E4" t="s">
        <v>20</v>
      </c>
      <c r="F4" t="s">
        <v>100</v>
      </c>
      <c r="G4" s="2">
        <v>45933.442094907405</v>
      </c>
      <c r="J4" t="s">
        <v>25</v>
      </c>
      <c r="K4" s="2">
        <f t="shared" si="0"/>
        <v>45937.442094907405</v>
      </c>
      <c r="S4" s="4">
        <f t="shared" ca="1" si="1"/>
        <v>179.55790509259532</v>
      </c>
    </row>
    <row r="5" spans="1:19" hidden="1" x14ac:dyDescent="0.35">
      <c r="A5">
        <v>10</v>
      </c>
      <c r="B5" t="s">
        <v>28</v>
      </c>
      <c r="D5" t="s">
        <v>27</v>
      </c>
      <c r="E5" t="s">
        <v>20</v>
      </c>
      <c r="F5" t="s">
        <v>29</v>
      </c>
      <c r="G5" s="2">
        <v>45933.4453125</v>
      </c>
      <c r="I5" t="s">
        <v>29</v>
      </c>
      <c r="J5" t="s">
        <v>30</v>
      </c>
      <c r="K5" s="2">
        <f t="shared" si="0"/>
        <v>45937.4453125</v>
      </c>
      <c r="S5" s="4">
        <f t="shared" ca="1" si="1"/>
        <v>179.5546875</v>
      </c>
    </row>
    <row r="6" spans="1:19" hidden="1" x14ac:dyDescent="0.35">
      <c r="A6">
        <v>11</v>
      </c>
      <c r="B6" t="s">
        <v>22</v>
      </c>
      <c r="C6" t="s">
        <v>31</v>
      </c>
      <c r="D6" t="s">
        <v>19</v>
      </c>
      <c r="E6" t="s">
        <v>20</v>
      </c>
      <c r="F6" t="s">
        <v>24</v>
      </c>
      <c r="G6" s="2">
        <v>45933.449490740742</v>
      </c>
      <c r="I6" t="s">
        <v>24</v>
      </c>
      <c r="J6" t="s">
        <v>25</v>
      </c>
      <c r="K6" s="2">
        <f t="shared" si="0"/>
        <v>45937.449490740742</v>
      </c>
      <c r="S6" s="4">
        <f t="shared" ca="1" si="1"/>
        <v>179.55050925925752</v>
      </c>
    </row>
    <row r="7" spans="1:19" hidden="1" x14ac:dyDescent="0.35">
      <c r="A7">
        <v>12</v>
      </c>
      <c r="B7" t="s">
        <v>22</v>
      </c>
      <c r="C7" t="s">
        <v>32</v>
      </c>
      <c r="D7" t="s">
        <v>19</v>
      </c>
      <c r="E7" t="s">
        <v>20</v>
      </c>
      <c r="F7" t="s">
        <v>24</v>
      </c>
      <c r="G7" s="2">
        <v>45933.452569444446</v>
      </c>
      <c r="H7" s="2">
        <v>45885.395833333336</v>
      </c>
      <c r="I7" t="s">
        <v>24</v>
      </c>
      <c r="J7" t="s">
        <v>25</v>
      </c>
      <c r="K7" s="2">
        <f t="shared" si="0"/>
        <v>45937.452569444446</v>
      </c>
      <c r="S7" s="4">
        <f t="shared" ca="1" si="1"/>
        <v>179.54743055555446</v>
      </c>
    </row>
    <row r="8" spans="1:19" hidden="1" x14ac:dyDescent="0.35">
      <c r="A8">
        <v>13</v>
      </c>
      <c r="B8" t="s">
        <v>22</v>
      </c>
      <c r="C8" t="s">
        <v>33</v>
      </c>
      <c r="D8" t="s">
        <v>19</v>
      </c>
      <c r="E8" t="s">
        <v>20</v>
      </c>
      <c r="F8" t="s">
        <v>24</v>
      </c>
      <c r="G8" s="2">
        <v>45933.454259259262</v>
      </c>
      <c r="H8" s="2">
        <v>45885.98333333333</v>
      </c>
      <c r="I8" t="s">
        <v>24</v>
      </c>
      <c r="J8" t="s">
        <v>25</v>
      </c>
      <c r="K8" s="2">
        <f t="shared" si="0"/>
        <v>45937.454259259262</v>
      </c>
      <c r="S8" s="4">
        <f t="shared" ca="1" si="1"/>
        <v>179.54574074073753</v>
      </c>
    </row>
    <row r="9" spans="1:19" hidden="1" x14ac:dyDescent="0.35">
      <c r="A9">
        <v>14</v>
      </c>
      <c r="B9" t="s">
        <v>34</v>
      </c>
      <c r="C9" t="s">
        <v>34</v>
      </c>
      <c r="D9" t="s">
        <v>19</v>
      </c>
      <c r="E9" t="s">
        <v>20</v>
      </c>
      <c r="F9" t="s">
        <v>35</v>
      </c>
      <c r="G9" s="2">
        <v>45933.456631944442</v>
      </c>
      <c r="H9" s="2">
        <v>45886.711111111108</v>
      </c>
      <c r="I9" t="s">
        <v>35</v>
      </c>
      <c r="J9" t="s">
        <v>21</v>
      </c>
      <c r="K9" s="2">
        <f t="shared" si="0"/>
        <v>45937.456631944442</v>
      </c>
      <c r="S9" s="4">
        <f t="shared" ca="1" si="1"/>
        <v>179.54336805555795</v>
      </c>
    </row>
    <row r="10" spans="1:19" hidden="1" x14ac:dyDescent="0.35">
      <c r="A10">
        <v>15</v>
      </c>
      <c r="B10" t="s">
        <v>36</v>
      </c>
      <c r="C10" t="s">
        <v>37</v>
      </c>
      <c r="D10" t="s">
        <v>19</v>
      </c>
      <c r="E10" t="s">
        <v>20</v>
      </c>
      <c r="F10" t="s">
        <v>35</v>
      </c>
      <c r="G10" s="2">
        <v>45933.457604166666</v>
      </c>
      <c r="H10" s="2">
        <v>45886.777777777781</v>
      </c>
      <c r="I10" t="s">
        <v>35</v>
      </c>
      <c r="J10" t="s">
        <v>21</v>
      </c>
      <c r="K10" s="2">
        <f t="shared" si="0"/>
        <v>45937.457604166666</v>
      </c>
      <c r="S10" s="4">
        <f t="shared" ca="1" si="1"/>
        <v>179.54239583333401</v>
      </c>
    </row>
    <row r="11" spans="1:19" hidden="1" x14ac:dyDescent="0.35">
      <c r="A11">
        <v>16</v>
      </c>
      <c r="B11" t="s">
        <v>38</v>
      </c>
      <c r="D11" t="s">
        <v>19</v>
      </c>
      <c r="E11" t="s">
        <v>20</v>
      </c>
      <c r="F11" t="s">
        <v>35</v>
      </c>
      <c r="G11" s="2">
        <v>45933.458587962959</v>
      </c>
      <c r="H11" s="2">
        <v>45886.916666666664</v>
      </c>
      <c r="I11" t="s">
        <v>35</v>
      </c>
      <c r="J11" t="s">
        <v>21</v>
      </c>
      <c r="K11" s="2">
        <f t="shared" si="0"/>
        <v>45937.458587962959</v>
      </c>
      <c r="S11" s="4">
        <f t="shared" ca="1" si="1"/>
        <v>179.54141203704057</v>
      </c>
    </row>
    <row r="12" spans="1:19" hidden="1" x14ac:dyDescent="0.35">
      <c r="A12">
        <v>17</v>
      </c>
      <c r="B12" t="s">
        <v>39</v>
      </c>
      <c r="C12" t="s">
        <v>40</v>
      </c>
      <c r="D12" t="s">
        <v>19</v>
      </c>
      <c r="E12" t="s">
        <v>20</v>
      </c>
      <c r="F12" t="s">
        <v>24</v>
      </c>
      <c r="G12" s="2">
        <v>45933.464386574073</v>
      </c>
      <c r="H12" s="2">
        <v>45892.604166666664</v>
      </c>
      <c r="I12" t="s">
        <v>24</v>
      </c>
      <c r="J12" t="s">
        <v>25</v>
      </c>
      <c r="K12" s="2">
        <f t="shared" si="0"/>
        <v>45937.464386574073</v>
      </c>
      <c r="S12" s="4">
        <f t="shared" ca="1" si="1"/>
        <v>179.53561342592729</v>
      </c>
    </row>
    <row r="13" spans="1:19" hidden="1" x14ac:dyDescent="0.35">
      <c r="A13">
        <v>18</v>
      </c>
      <c r="B13" t="s">
        <v>41</v>
      </c>
      <c r="C13" t="s">
        <v>42</v>
      </c>
      <c r="D13" t="s">
        <v>19</v>
      </c>
      <c r="E13" t="s">
        <v>20</v>
      </c>
      <c r="F13" t="s">
        <v>24</v>
      </c>
      <c r="G13" s="2">
        <v>45933.466458333336</v>
      </c>
      <c r="H13" s="2">
        <v>45892.75</v>
      </c>
      <c r="I13" t="s">
        <v>24</v>
      </c>
      <c r="J13" t="s">
        <v>25</v>
      </c>
      <c r="K13" s="2">
        <f t="shared" si="0"/>
        <v>45937.466458333336</v>
      </c>
      <c r="S13" s="4">
        <f t="shared" ca="1" si="1"/>
        <v>179.53354166666395</v>
      </c>
    </row>
    <row r="14" spans="1:19" hidden="1" x14ac:dyDescent="0.35">
      <c r="A14">
        <v>19</v>
      </c>
      <c r="B14" t="s">
        <v>41</v>
      </c>
      <c r="D14" t="s">
        <v>19</v>
      </c>
      <c r="E14" t="s">
        <v>20</v>
      </c>
      <c r="F14" t="s">
        <v>24</v>
      </c>
      <c r="G14" s="2">
        <v>45933.467615740738</v>
      </c>
      <c r="H14" s="2">
        <v>45893.583333333336</v>
      </c>
      <c r="I14" t="s">
        <v>24</v>
      </c>
      <c r="J14" t="s">
        <v>25</v>
      </c>
      <c r="K14" s="2">
        <f t="shared" si="0"/>
        <v>45937.467615740738</v>
      </c>
      <c r="S14" s="4">
        <f t="shared" ca="1" si="1"/>
        <v>179.53238425926247</v>
      </c>
    </row>
    <row r="15" spans="1:19" hidden="1" x14ac:dyDescent="0.35">
      <c r="A15">
        <v>20</v>
      </c>
      <c r="B15" t="s">
        <v>43</v>
      </c>
      <c r="C15" t="s">
        <v>44</v>
      </c>
      <c r="D15" t="s">
        <v>19</v>
      </c>
      <c r="E15" t="s">
        <v>20</v>
      </c>
      <c r="F15" t="s">
        <v>45</v>
      </c>
      <c r="G15" s="2">
        <v>45933.471284722225</v>
      </c>
      <c r="H15" s="2">
        <v>45892.963194444441</v>
      </c>
      <c r="I15" t="s">
        <v>45</v>
      </c>
      <c r="J15" t="s">
        <v>25</v>
      </c>
      <c r="K15" s="2">
        <f t="shared" si="0"/>
        <v>45937.471284722225</v>
      </c>
      <c r="S15" s="4">
        <f t="shared" ca="1" si="1"/>
        <v>179.52871527777461</v>
      </c>
    </row>
    <row r="16" spans="1:19" hidden="1" x14ac:dyDescent="0.35">
      <c r="A16">
        <v>21</v>
      </c>
      <c r="B16" t="s">
        <v>46</v>
      </c>
      <c r="C16" t="s">
        <v>47</v>
      </c>
      <c r="D16" t="s">
        <v>19</v>
      </c>
      <c r="E16" t="s">
        <v>20</v>
      </c>
      <c r="F16" t="s">
        <v>48</v>
      </c>
      <c r="G16" s="2">
        <v>45933.473796296297</v>
      </c>
      <c r="H16" s="2">
        <v>45893.979166666664</v>
      </c>
      <c r="I16" t="s">
        <v>48</v>
      </c>
      <c r="J16" t="s">
        <v>49</v>
      </c>
      <c r="K16" s="2">
        <f t="shared" si="0"/>
        <v>45937.473796296297</v>
      </c>
      <c r="S16" s="4">
        <f t="shared" ca="1" si="1"/>
        <v>179.52620370370278</v>
      </c>
    </row>
    <row r="17" spans="1:19" hidden="1" x14ac:dyDescent="0.35">
      <c r="A17">
        <v>23</v>
      </c>
      <c r="B17" t="s">
        <v>46</v>
      </c>
      <c r="C17" t="s">
        <v>50</v>
      </c>
      <c r="D17" t="s">
        <v>19</v>
      </c>
      <c r="E17" t="s">
        <v>20</v>
      </c>
      <c r="F17" t="s">
        <v>48</v>
      </c>
      <c r="G17" s="2">
        <v>45933.476099537038</v>
      </c>
      <c r="H17" s="2">
        <v>45894.951388888891</v>
      </c>
      <c r="I17" t="s">
        <v>48</v>
      </c>
      <c r="J17" t="s">
        <v>49</v>
      </c>
      <c r="K17" s="2">
        <f t="shared" si="0"/>
        <v>45937.476099537038</v>
      </c>
      <c r="S17" s="4">
        <f t="shared" ca="1" si="1"/>
        <v>179.52390046296205</v>
      </c>
    </row>
    <row r="18" spans="1:19" hidden="1" x14ac:dyDescent="0.35">
      <c r="A18">
        <v>24</v>
      </c>
      <c r="B18" t="s">
        <v>22</v>
      </c>
      <c r="C18" t="s">
        <v>51</v>
      </c>
      <c r="D18" t="s">
        <v>19</v>
      </c>
      <c r="E18" t="s">
        <v>20</v>
      </c>
      <c r="F18" t="s">
        <v>24</v>
      </c>
      <c r="G18" s="2">
        <v>45933.478796296295</v>
      </c>
      <c r="H18" s="2">
        <v>45895.875</v>
      </c>
      <c r="I18" t="s">
        <v>24</v>
      </c>
      <c r="J18" t="s">
        <v>25</v>
      </c>
      <c r="K18" s="2">
        <f t="shared" si="0"/>
        <v>45937.478796296295</v>
      </c>
      <c r="S18" s="4">
        <f t="shared" ca="1" si="1"/>
        <v>179.5212037037054</v>
      </c>
    </row>
    <row r="19" spans="1:19" hidden="1" x14ac:dyDescent="0.35">
      <c r="A19">
        <v>25</v>
      </c>
      <c r="B19" t="s">
        <v>43</v>
      </c>
      <c r="D19" t="s">
        <v>27</v>
      </c>
      <c r="E19" t="s">
        <v>20</v>
      </c>
      <c r="F19" t="s">
        <v>45</v>
      </c>
      <c r="G19" s="2">
        <v>45933.479733796295</v>
      </c>
      <c r="I19" t="s">
        <v>45</v>
      </c>
      <c r="J19" t="s">
        <v>25</v>
      </c>
      <c r="K19" s="2">
        <f t="shared" si="0"/>
        <v>45937.479733796295</v>
      </c>
      <c r="S19" s="4">
        <f t="shared" ca="1" si="1"/>
        <v>179.52026620370452</v>
      </c>
    </row>
    <row r="20" spans="1:19" hidden="1" x14ac:dyDescent="0.35">
      <c r="A20">
        <v>26</v>
      </c>
      <c r="B20" t="s">
        <v>52</v>
      </c>
      <c r="D20" t="s">
        <v>19</v>
      </c>
      <c r="E20" t="s">
        <v>20</v>
      </c>
      <c r="F20" t="s">
        <v>35</v>
      </c>
      <c r="G20" s="2">
        <v>45933.481574074074</v>
      </c>
      <c r="H20" s="2">
        <v>45898.947916666664</v>
      </c>
      <c r="I20" t="s">
        <v>35</v>
      </c>
      <c r="J20" t="s">
        <v>21</v>
      </c>
      <c r="K20" s="2">
        <f t="shared" si="0"/>
        <v>45937.481574074074</v>
      </c>
      <c r="S20" s="4">
        <f t="shared" ca="1" si="1"/>
        <v>179.51842592592584</v>
      </c>
    </row>
    <row r="21" spans="1:19" hidden="1" x14ac:dyDescent="0.35">
      <c r="A21">
        <v>27</v>
      </c>
      <c r="B21" t="s">
        <v>43</v>
      </c>
      <c r="D21" t="s">
        <v>19</v>
      </c>
      <c r="E21" t="s">
        <v>20</v>
      </c>
      <c r="F21" t="s">
        <v>45</v>
      </c>
      <c r="G21" s="2">
        <v>45933.483229166668</v>
      </c>
      <c r="H21" s="2">
        <v>45898.979166666664</v>
      </c>
      <c r="I21" t="s">
        <v>45</v>
      </c>
      <c r="J21" t="s">
        <v>25</v>
      </c>
      <c r="K21" s="2">
        <f t="shared" si="0"/>
        <v>45937.483229166668</v>
      </c>
      <c r="S21" s="4">
        <f t="shared" ca="1" si="1"/>
        <v>179.51677083333198</v>
      </c>
    </row>
    <row r="22" spans="1:19" hidden="1" x14ac:dyDescent="0.35">
      <c r="A22">
        <v>28</v>
      </c>
      <c r="B22" t="s">
        <v>53</v>
      </c>
      <c r="C22" t="s">
        <v>54</v>
      </c>
      <c r="D22" t="s">
        <v>19</v>
      </c>
      <c r="E22" t="s">
        <v>20</v>
      </c>
      <c r="F22" t="s">
        <v>45</v>
      </c>
      <c r="G22" s="2">
        <v>45933.485613425924</v>
      </c>
      <c r="H22" s="2">
        <v>45899.935416666667</v>
      </c>
      <c r="I22" t="s">
        <v>45</v>
      </c>
      <c r="J22" t="s">
        <v>25</v>
      </c>
      <c r="K22" s="2">
        <f>G22+3</f>
        <v>45936.485613425924</v>
      </c>
      <c r="S22" s="4">
        <f t="shared" ca="1" si="1"/>
        <v>179.51438657407562</v>
      </c>
    </row>
    <row r="23" spans="1:19" hidden="1" x14ac:dyDescent="0.35">
      <c r="A23">
        <v>29</v>
      </c>
      <c r="B23" t="s">
        <v>55</v>
      </c>
      <c r="C23" t="s">
        <v>56</v>
      </c>
      <c r="D23" t="s">
        <v>19</v>
      </c>
      <c r="E23" t="s">
        <v>20</v>
      </c>
      <c r="F23" t="s">
        <v>35</v>
      </c>
      <c r="G23" s="2">
        <v>45933.487488425926</v>
      </c>
      <c r="H23" s="2">
        <v>45901.885416666664</v>
      </c>
      <c r="I23" t="s">
        <v>35</v>
      </c>
      <c r="J23" t="s">
        <v>21</v>
      </c>
      <c r="K23" s="2">
        <f t="shared" ref="K23:K86" si="2">G23+3</f>
        <v>45936.487488425926</v>
      </c>
      <c r="S23" s="4">
        <f t="shared" ca="1" si="1"/>
        <v>179.51251157407387</v>
      </c>
    </row>
    <row r="24" spans="1:19" hidden="1" x14ac:dyDescent="0.35">
      <c r="A24">
        <v>30</v>
      </c>
      <c r="B24" t="s">
        <v>57</v>
      </c>
      <c r="C24" t="s">
        <v>44</v>
      </c>
      <c r="D24" t="s">
        <v>58</v>
      </c>
      <c r="E24" t="s">
        <v>20</v>
      </c>
      <c r="F24" t="s">
        <v>35</v>
      </c>
      <c r="G24" s="2">
        <v>45933.489340277774</v>
      </c>
      <c r="I24" t="s">
        <v>35</v>
      </c>
      <c r="J24" t="s">
        <v>21</v>
      </c>
      <c r="K24" s="2">
        <f t="shared" si="2"/>
        <v>45936.489340277774</v>
      </c>
      <c r="S24" s="4">
        <f t="shared" ca="1" si="1"/>
        <v>179.51065972222568</v>
      </c>
    </row>
    <row r="25" spans="1:19" hidden="1" x14ac:dyDescent="0.35">
      <c r="A25">
        <v>31</v>
      </c>
      <c r="B25" t="s">
        <v>57</v>
      </c>
      <c r="D25" t="s">
        <v>19</v>
      </c>
      <c r="E25" t="s">
        <v>20</v>
      </c>
      <c r="F25" t="s">
        <v>35</v>
      </c>
      <c r="G25" s="2">
        <v>45933.490543981483</v>
      </c>
      <c r="H25" s="2">
        <v>45901.986111111109</v>
      </c>
      <c r="I25" t="s">
        <v>35</v>
      </c>
      <c r="J25" t="s">
        <v>21</v>
      </c>
      <c r="K25" s="2">
        <f t="shared" si="2"/>
        <v>45936.490543981483</v>
      </c>
      <c r="S25" s="4">
        <f t="shared" ca="1" si="1"/>
        <v>179.50945601851708</v>
      </c>
    </row>
    <row r="26" spans="1:19" hidden="1" x14ac:dyDescent="0.35">
      <c r="A26">
        <v>32</v>
      </c>
      <c r="B26" t="s">
        <v>59</v>
      </c>
      <c r="D26" t="s">
        <v>19</v>
      </c>
      <c r="E26" t="s">
        <v>20</v>
      </c>
      <c r="F26" t="s">
        <v>35</v>
      </c>
      <c r="G26" s="2">
        <v>45933.49255787037</v>
      </c>
      <c r="H26" s="2">
        <v>45902.027777777781</v>
      </c>
      <c r="I26" t="s">
        <v>35</v>
      </c>
      <c r="J26" t="s">
        <v>21</v>
      </c>
      <c r="K26" s="2">
        <f t="shared" si="2"/>
        <v>45936.49255787037</v>
      </c>
      <c r="S26" s="4">
        <f t="shared" ca="1" si="1"/>
        <v>179.50744212963036</v>
      </c>
    </row>
    <row r="27" spans="1:19" hidden="1" x14ac:dyDescent="0.35">
      <c r="A27">
        <v>33</v>
      </c>
      <c r="B27" t="s">
        <v>41</v>
      </c>
      <c r="C27" t="s">
        <v>60</v>
      </c>
      <c r="D27" t="s">
        <v>19</v>
      </c>
      <c r="E27" t="s">
        <v>20</v>
      </c>
      <c r="F27" t="s">
        <v>24</v>
      </c>
      <c r="G27" s="2">
        <v>45933.496388888889</v>
      </c>
      <c r="H27" s="2">
        <v>45903.916666666664</v>
      </c>
      <c r="I27" t="s">
        <v>24</v>
      </c>
      <c r="J27" t="s">
        <v>25</v>
      </c>
      <c r="K27" s="2">
        <f t="shared" si="2"/>
        <v>45936.496388888889</v>
      </c>
      <c r="S27" s="4">
        <f t="shared" ca="1" si="1"/>
        <v>179.50361111111124</v>
      </c>
    </row>
    <row r="28" spans="1:19" hidden="1" x14ac:dyDescent="0.35">
      <c r="A28">
        <v>34</v>
      </c>
      <c r="B28" t="s">
        <v>61</v>
      </c>
      <c r="C28" t="s">
        <v>62</v>
      </c>
      <c r="D28" t="s">
        <v>19</v>
      </c>
      <c r="E28" t="s">
        <v>20</v>
      </c>
      <c r="F28" t="s">
        <v>24</v>
      </c>
      <c r="G28" s="2">
        <v>45933.498287037037</v>
      </c>
      <c r="H28" s="2">
        <v>45906.5625</v>
      </c>
      <c r="I28" t="s">
        <v>24</v>
      </c>
      <c r="J28" t="s">
        <v>25</v>
      </c>
      <c r="K28" s="2">
        <f t="shared" si="2"/>
        <v>45936.498287037037</v>
      </c>
      <c r="S28" s="4">
        <f t="shared" ca="1" si="1"/>
        <v>179.50171296296321</v>
      </c>
    </row>
    <row r="29" spans="1:19" hidden="1" x14ac:dyDescent="0.35">
      <c r="A29">
        <v>35</v>
      </c>
      <c r="B29" t="s">
        <v>22</v>
      </c>
      <c r="C29" t="s">
        <v>23</v>
      </c>
      <c r="D29" t="s">
        <v>19</v>
      </c>
      <c r="E29" t="s">
        <v>20</v>
      </c>
      <c r="F29" t="s">
        <v>24</v>
      </c>
      <c r="G29" s="2">
        <v>45933.4996875</v>
      </c>
      <c r="H29" s="2">
        <v>45906.75</v>
      </c>
      <c r="I29" t="s">
        <v>24</v>
      </c>
      <c r="J29" t="s">
        <v>25</v>
      </c>
      <c r="K29" s="2">
        <f t="shared" si="2"/>
        <v>45936.4996875</v>
      </c>
      <c r="S29" s="4">
        <f t="shared" ca="1" si="1"/>
        <v>179.50031250000029</v>
      </c>
    </row>
    <row r="30" spans="1:19" hidden="1" x14ac:dyDescent="0.35">
      <c r="A30">
        <v>36</v>
      </c>
      <c r="B30" t="s">
        <v>63</v>
      </c>
      <c r="D30" t="s">
        <v>19</v>
      </c>
      <c r="E30" t="s">
        <v>20</v>
      </c>
      <c r="F30" t="s">
        <v>24</v>
      </c>
      <c r="G30" s="2">
        <v>45933.502314814818</v>
      </c>
      <c r="H30" s="2">
        <v>45913.736111111109</v>
      </c>
      <c r="I30" t="s">
        <v>24</v>
      </c>
      <c r="J30" t="s">
        <v>25</v>
      </c>
      <c r="K30" s="2">
        <f t="shared" si="2"/>
        <v>45936.502314814818</v>
      </c>
      <c r="S30" s="4">
        <f t="shared" ca="1" si="1"/>
        <v>179.49768518518249</v>
      </c>
    </row>
    <row r="31" spans="1:19" hidden="1" x14ac:dyDescent="0.35">
      <c r="A31">
        <v>37</v>
      </c>
      <c r="B31" t="s">
        <v>63</v>
      </c>
      <c r="C31" t="s">
        <v>64</v>
      </c>
      <c r="D31" t="s">
        <v>19</v>
      </c>
      <c r="E31" t="s">
        <v>20</v>
      </c>
      <c r="F31" t="s">
        <v>24</v>
      </c>
      <c r="G31" s="2">
        <v>45933.504201388889</v>
      </c>
      <c r="H31" s="2">
        <v>45913.957638888889</v>
      </c>
      <c r="I31" t="s">
        <v>24</v>
      </c>
      <c r="J31" t="s">
        <v>25</v>
      </c>
      <c r="K31" s="2">
        <f t="shared" si="2"/>
        <v>45936.504201388889</v>
      </c>
      <c r="S31" s="4">
        <f t="shared" ca="1" si="1"/>
        <v>179.49579861111124</v>
      </c>
    </row>
    <row r="32" spans="1:19" hidden="1" x14ac:dyDescent="0.35">
      <c r="A32">
        <v>38</v>
      </c>
      <c r="B32" t="s">
        <v>22</v>
      </c>
      <c r="C32" t="s">
        <v>23</v>
      </c>
      <c r="D32" t="s">
        <v>19</v>
      </c>
      <c r="E32" t="s">
        <v>20</v>
      </c>
      <c r="F32" t="s">
        <v>24</v>
      </c>
      <c r="G32" s="2">
        <v>45933.506527777776</v>
      </c>
      <c r="H32" s="2">
        <v>45914.5</v>
      </c>
      <c r="I32" t="s">
        <v>24</v>
      </c>
      <c r="J32" t="s">
        <v>25</v>
      </c>
      <c r="K32" s="2">
        <f t="shared" si="2"/>
        <v>45936.506527777776</v>
      </c>
      <c r="S32" s="4">
        <f t="shared" ca="1" si="1"/>
        <v>179.49347222222423</v>
      </c>
    </row>
    <row r="33" spans="1:19" hidden="1" x14ac:dyDescent="0.35">
      <c r="A33">
        <v>39</v>
      </c>
      <c r="B33" t="s">
        <v>65</v>
      </c>
      <c r="C33" t="s">
        <v>66</v>
      </c>
      <c r="D33" t="s">
        <v>19</v>
      </c>
      <c r="E33" t="s">
        <v>20</v>
      </c>
      <c r="F33" t="s">
        <v>24</v>
      </c>
      <c r="G33" s="2">
        <v>45934.305497685185</v>
      </c>
      <c r="H33" s="2">
        <v>45934.581250000003</v>
      </c>
      <c r="I33" t="s">
        <v>24</v>
      </c>
      <c r="J33" t="s">
        <v>25</v>
      </c>
      <c r="K33" s="2">
        <f t="shared" si="2"/>
        <v>45937.305497685185</v>
      </c>
      <c r="S33" s="4">
        <f t="shared" ca="1" si="1"/>
        <v>178.6945023148146</v>
      </c>
    </row>
    <row r="34" spans="1:19" hidden="1" x14ac:dyDescent="0.35">
      <c r="A34">
        <v>40</v>
      </c>
      <c r="B34" t="s">
        <v>41</v>
      </c>
      <c r="C34" t="s">
        <v>67</v>
      </c>
      <c r="D34" t="s">
        <v>19</v>
      </c>
      <c r="E34" t="s">
        <v>20</v>
      </c>
      <c r="F34" t="s">
        <v>24</v>
      </c>
      <c r="G34" s="2">
        <v>45934.582187499997</v>
      </c>
      <c r="H34" s="2">
        <v>45934.750694444447</v>
      </c>
      <c r="I34" t="s">
        <v>24</v>
      </c>
      <c r="J34" t="s">
        <v>25</v>
      </c>
      <c r="K34" s="2">
        <f t="shared" si="2"/>
        <v>45937.582187499997</v>
      </c>
      <c r="S34" s="4">
        <f t="shared" ca="1" si="1"/>
        <v>178.41781250000349</v>
      </c>
    </row>
    <row r="35" spans="1:19" hidden="1" x14ac:dyDescent="0.35">
      <c r="A35">
        <v>41</v>
      </c>
      <c r="B35" t="s">
        <v>41</v>
      </c>
      <c r="C35" t="s">
        <v>68</v>
      </c>
      <c r="D35" t="s">
        <v>19</v>
      </c>
      <c r="E35" t="s">
        <v>20</v>
      </c>
      <c r="F35" t="s">
        <v>24</v>
      </c>
      <c r="G35" s="2">
        <v>45934.793923611112</v>
      </c>
      <c r="H35" s="2">
        <v>45934.962500000001</v>
      </c>
      <c r="I35" t="s">
        <v>24</v>
      </c>
      <c r="J35" t="s">
        <v>25</v>
      </c>
      <c r="K35" s="2">
        <f t="shared" si="2"/>
        <v>45937.793923611112</v>
      </c>
      <c r="S35" s="4">
        <f t="shared" ca="1" si="1"/>
        <v>178.2060763888876</v>
      </c>
    </row>
    <row r="36" spans="1:19" hidden="1" x14ac:dyDescent="0.35">
      <c r="A36">
        <v>42</v>
      </c>
      <c r="B36" t="s">
        <v>41</v>
      </c>
      <c r="C36" t="s">
        <v>69</v>
      </c>
      <c r="D36" t="s">
        <v>19</v>
      </c>
      <c r="E36" t="s">
        <v>20</v>
      </c>
      <c r="F36" t="s">
        <v>24</v>
      </c>
      <c r="G36" s="2">
        <v>45935.279537037037</v>
      </c>
      <c r="H36" s="2">
        <v>45935.5</v>
      </c>
      <c r="I36" t="s">
        <v>24</v>
      </c>
      <c r="J36" t="s">
        <v>25</v>
      </c>
      <c r="K36" s="2">
        <f t="shared" si="2"/>
        <v>45938.279537037037</v>
      </c>
      <c r="S36" s="4">
        <f t="shared" ca="1" si="1"/>
        <v>177.72046296296321</v>
      </c>
    </row>
    <row r="37" spans="1:19" hidden="1" x14ac:dyDescent="0.35">
      <c r="A37">
        <v>43</v>
      </c>
      <c r="B37" t="s">
        <v>22</v>
      </c>
      <c r="C37" t="s">
        <v>70</v>
      </c>
      <c r="D37" t="s">
        <v>19</v>
      </c>
      <c r="E37" t="s">
        <v>20</v>
      </c>
      <c r="F37" t="s">
        <v>24</v>
      </c>
      <c r="G37" s="2">
        <v>45939.426840277774</v>
      </c>
      <c r="H37" s="2">
        <v>45939.5</v>
      </c>
      <c r="I37" t="s">
        <v>24</v>
      </c>
      <c r="J37" t="s">
        <v>25</v>
      </c>
      <c r="K37" s="2">
        <f t="shared" si="2"/>
        <v>45942.426840277774</v>
      </c>
      <c r="S37" s="4">
        <f t="shared" ca="1" si="1"/>
        <v>173.57315972222568</v>
      </c>
    </row>
    <row r="38" spans="1:19" hidden="1" x14ac:dyDescent="0.35">
      <c r="A38">
        <v>44</v>
      </c>
      <c r="B38" t="s">
        <v>22</v>
      </c>
      <c r="C38" t="s">
        <v>70</v>
      </c>
      <c r="D38" t="s">
        <v>19</v>
      </c>
      <c r="E38" t="s">
        <v>20</v>
      </c>
      <c r="F38" t="s">
        <v>24</v>
      </c>
      <c r="G38" s="2">
        <v>45940.372152777774</v>
      </c>
      <c r="H38" s="2">
        <v>45940.520833333336</v>
      </c>
      <c r="I38" t="s">
        <v>24</v>
      </c>
      <c r="J38" t="s">
        <v>25</v>
      </c>
      <c r="K38" s="2">
        <f t="shared" si="2"/>
        <v>45943.372152777774</v>
      </c>
      <c r="S38" s="4">
        <f t="shared" ca="1" si="1"/>
        <v>172.62784722222568</v>
      </c>
    </row>
    <row r="39" spans="1:19" hidden="1" x14ac:dyDescent="0.35">
      <c r="A39">
        <v>45</v>
      </c>
      <c r="B39" t="s">
        <v>22</v>
      </c>
      <c r="C39" t="s">
        <v>71</v>
      </c>
      <c r="D39" t="s">
        <v>19</v>
      </c>
      <c r="E39" t="s">
        <v>20</v>
      </c>
      <c r="F39" t="s">
        <v>24</v>
      </c>
      <c r="G39" s="2">
        <v>45940.552071759259</v>
      </c>
      <c r="H39" s="2">
        <v>45940.6875</v>
      </c>
      <c r="I39" t="s">
        <v>24</v>
      </c>
      <c r="J39" t="s">
        <v>25</v>
      </c>
      <c r="K39" s="2">
        <f t="shared" si="2"/>
        <v>45943.552071759259</v>
      </c>
      <c r="S39" s="4">
        <f t="shared" ca="1" si="1"/>
        <v>172.44792824074102</v>
      </c>
    </row>
    <row r="40" spans="1:19" hidden="1" x14ac:dyDescent="0.35">
      <c r="A40">
        <v>46</v>
      </c>
      <c r="B40" t="s">
        <v>22</v>
      </c>
      <c r="C40" t="s">
        <v>71</v>
      </c>
      <c r="D40" t="s">
        <v>19</v>
      </c>
      <c r="E40" t="s">
        <v>20</v>
      </c>
      <c r="F40" t="s">
        <v>24</v>
      </c>
      <c r="G40" s="2">
        <v>45941.271805555552</v>
      </c>
      <c r="H40" s="2">
        <v>45941.356944444444</v>
      </c>
      <c r="I40" t="s">
        <v>24</v>
      </c>
      <c r="J40" t="s">
        <v>25</v>
      </c>
      <c r="K40" s="2">
        <f t="shared" si="2"/>
        <v>45944.271805555552</v>
      </c>
      <c r="S40" s="4">
        <f t="shared" ca="1" si="1"/>
        <v>171.72819444444758</v>
      </c>
    </row>
    <row r="41" spans="1:19" hidden="1" x14ac:dyDescent="0.35">
      <c r="A41">
        <v>47</v>
      </c>
      <c r="B41" t="s">
        <v>22</v>
      </c>
      <c r="C41" t="s">
        <v>71</v>
      </c>
      <c r="D41" t="s">
        <v>19</v>
      </c>
      <c r="E41" t="s">
        <v>20</v>
      </c>
      <c r="F41" t="s">
        <v>24</v>
      </c>
      <c r="G41" s="2">
        <v>45941.587638888886</v>
      </c>
      <c r="H41" s="2">
        <v>45941.714583333334</v>
      </c>
      <c r="I41" t="s">
        <v>24</v>
      </c>
      <c r="J41" t="s">
        <v>25</v>
      </c>
      <c r="K41" s="2">
        <f t="shared" si="2"/>
        <v>45944.587638888886</v>
      </c>
      <c r="S41" s="4">
        <f t="shared" ca="1" si="1"/>
        <v>171.41236111111357</v>
      </c>
    </row>
    <row r="42" spans="1:19" hidden="1" x14ac:dyDescent="0.35">
      <c r="A42">
        <v>48</v>
      </c>
      <c r="B42" t="s">
        <v>22</v>
      </c>
      <c r="C42" t="s">
        <v>71</v>
      </c>
      <c r="D42" t="s">
        <v>19</v>
      </c>
      <c r="E42" t="s">
        <v>20</v>
      </c>
      <c r="F42" t="s">
        <v>24</v>
      </c>
      <c r="G42" s="2">
        <v>45942.398946759262</v>
      </c>
      <c r="H42" s="2">
        <v>45942.572916666664</v>
      </c>
      <c r="I42" t="s">
        <v>24</v>
      </c>
      <c r="J42" t="s">
        <v>25</v>
      </c>
      <c r="K42" s="2">
        <f t="shared" si="2"/>
        <v>45945.398946759262</v>
      </c>
      <c r="S42" s="4">
        <f t="shared" ca="1" si="1"/>
        <v>170.60105324073811</v>
      </c>
    </row>
    <row r="43" spans="1:19" hidden="1" x14ac:dyDescent="0.35">
      <c r="A43">
        <v>49</v>
      </c>
      <c r="B43" t="s">
        <v>22</v>
      </c>
      <c r="C43" t="s">
        <v>22</v>
      </c>
      <c r="D43" t="s">
        <v>19</v>
      </c>
      <c r="E43" t="s">
        <v>20</v>
      </c>
      <c r="F43" t="s">
        <v>24</v>
      </c>
      <c r="G43" s="2">
        <v>45942.605706018519</v>
      </c>
      <c r="H43" s="2">
        <v>45942.722222222219</v>
      </c>
      <c r="I43" t="s">
        <v>24</v>
      </c>
      <c r="J43" t="s">
        <v>25</v>
      </c>
      <c r="K43" s="2">
        <f t="shared" si="2"/>
        <v>45945.605706018519</v>
      </c>
      <c r="S43" s="4">
        <f t="shared" ca="1" si="1"/>
        <v>170.39429398148059</v>
      </c>
    </row>
    <row r="44" spans="1:19" hidden="1" x14ac:dyDescent="0.35">
      <c r="A44">
        <v>50</v>
      </c>
      <c r="B44" t="s">
        <v>72</v>
      </c>
      <c r="C44" t="s">
        <v>73</v>
      </c>
      <c r="D44" t="s">
        <v>19</v>
      </c>
      <c r="E44" t="s">
        <v>20</v>
      </c>
      <c r="F44" t="s">
        <v>74</v>
      </c>
      <c r="G44" s="2">
        <v>45957.551840277774</v>
      </c>
      <c r="H44" s="2">
        <v>45957.427083333336</v>
      </c>
      <c r="I44" t="s">
        <v>74</v>
      </c>
      <c r="J44" t="s">
        <v>30</v>
      </c>
      <c r="K44" s="2">
        <f t="shared" si="2"/>
        <v>45960.551840277774</v>
      </c>
      <c r="S44" s="4">
        <f t="shared" ca="1" si="1"/>
        <v>155.44815972222568</v>
      </c>
    </row>
    <row r="45" spans="1:19" hidden="1" x14ac:dyDescent="0.35">
      <c r="A45">
        <v>51</v>
      </c>
      <c r="B45" t="s">
        <v>75</v>
      </c>
      <c r="C45" t="s">
        <v>76</v>
      </c>
      <c r="D45" t="s">
        <v>19</v>
      </c>
      <c r="E45" t="s">
        <v>20</v>
      </c>
      <c r="F45" t="s">
        <v>74</v>
      </c>
      <c r="G45" s="2">
        <v>45957.627962962964</v>
      </c>
      <c r="H45" s="2">
        <v>45957.626388888886</v>
      </c>
      <c r="I45" t="s">
        <v>74</v>
      </c>
      <c r="J45" t="s">
        <v>30</v>
      </c>
      <c r="K45" s="2">
        <f t="shared" si="2"/>
        <v>45960.627962962964</v>
      </c>
      <c r="S45" s="4">
        <f t="shared" ca="1" si="1"/>
        <v>155.37203703703562</v>
      </c>
    </row>
    <row r="46" spans="1:19" hidden="1" x14ac:dyDescent="0.35">
      <c r="A46">
        <v>52</v>
      </c>
      <c r="B46" t="s">
        <v>77</v>
      </c>
      <c r="C46" t="s">
        <v>78</v>
      </c>
      <c r="D46" t="s">
        <v>19</v>
      </c>
      <c r="E46" t="s">
        <v>20</v>
      </c>
      <c r="F46" t="s">
        <v>74</v>
      </c>
      <c r="G46" s="2">
        <v>45958.623217592591</v>
      </c>
      <c r="H46" s="2">
        <v>45958.4375</v>
      </c>
      <c r="I46" t="s">
        <v>74</v>
      </c>
      <c r="J46" t="s">
        <v>30</v>
      </c>
      <c r="K46" s="2">
        <f t="shared" si="2"/>
        <v>45961.623217592591</v>
      </c>
      <c r="S46" s="4">
        <f t="shared" ca="1" si="1"/>
        <v>154.37678240740934</v>
      </c>
    </row>
    <row r="47" spans="1:19" hidden="1" x14ac:dyDescent="0.35">
      <c r="A47">
        <v>53</v>
      </c>
      <c r="B47" t="s">
        <v>79</v>
      </c>
      <c r="C47" t="s">
        <v>80</v>
      </c>
      <c r="D47" t="s">
        <v>19</v>
      </c>
      <c r="E47" t="s">
        <v>20</v>
      </c>
      <c r="F47" t="s">
        <v>74</v>
      </c>
      <c r="G47" s="2">
        <v>45958.624641203707</v>
      </c>
      <c r="H47" s="2">
        <v>45958.46875</v>
      </c>
      <c r="I47" t="s">
        <v>74</v>
      </c>
      <c r="J47" t="s">
        <v>30</v>
      </c>
      <c r="K47" s="2">
        <f t="shared" si="2"/>
        <v>45961.624641203707</v>
      </c>
      <c r="S47" s="4">
        <f t="shared" ca="1" si="1"/>
        <v>154.37535879629286</v>
      </c>
    </row>
    <row r="48" spans="1:19" hidden="1" x14ac:dyDescent="0.35">
      <c r="A48">
        <v>54</v>
      </c>
      <c r="B48" t="s">
        <v>81</v>
      </c>
      <c r="C48" t="s">
        <v>82</v>
      </c>
      <c r="D48" t="s">
        <v>19</v>
      </c>
      <c r="E48" t="s">
        <v>20</v>
      </c>
      <c r="F48" t="s">
        <v>74</v>
      </c>
      <c r="G48" s="2">
        <v>45958.62871527778</v>
      </c>
      <c r="H48" s="2">
        <v>45958.350694444445</v>
      </c>
      <c r="I48" t="s">
        <v>74</v>
      </c>
      <c r="J48" t="s">
        <v>30</v>
      </c>
      <c r="K48" s="2">
        <f t="shared" si="2"/>
        <v>45961.62871527778</v>
      </c>
      <c r="S48" s="4">
        <f t="shared" ca="1" si="1"/>
        <v>154.37128472221957</v>
      </c>
    </row>
    <row r="49" spans="1:19" hidden="1" x14ac:dyDescent="0.35">
      <c r="A49">
        <v>55</v>
      </c>
      <c r="B49" t="s">
        <v>83</v>
      </c>
      <c r="C49" t="s">
        <v>84</v>
      </c>
      <c r="D49" t="s">
        <v>19</v>
      </c>
      <c r="E49" t="s">
        <v>20</v>
      </c>
      <c r="F49" t="s">
        <v>74</v>
      </c>
      <c r="G49" s="2">
        <v>45958.680138888885</v>
      </c>
      <c r="H49" s="2">
        <v>45958.666666666664</v>
      </c>
      <c r="I49" t="s">
        <v>74</v>
      </c>
      <c r="J49" t="s">
        <v>30</v>
      </c>
      <c r="K49" s="2">
        <f t="shared" si="2"/>
        <v>45961.680138888885</v>
      </c>
      <c r="S49" s="4">
        <f t="shared" ca="1" si="1"/>
        <v>154.31986111111473</v>
      </c>
    </row>
    <row r="50" spans="1:19" hidden="1" x14ac:dyDescent="0.35">
      <c r="A50">
        <v>56</v>
      </c>
      <c r="B50" t="s">
        <v>41</v>
      </c>
      <c r="C50" t="s">
        <v>85</v>
      </c>
      <c r="D50" t="s">
        <v>19</v>
      </c>
      <c r="E50" t="s">
        <v>20</v>
      </c>
      <c r="F50" t="s">
        <v>24</v>
      </c>
      <c r="G50" s="2">
        <v>45959.83085648148</v>
      </c>
      <c r="H50" s="2">
        <v>45959.916666666664</v>
      </c>
      <c r="I50" t="s">
        <v>24</v>
      </c>
      <c r="J50" t="s">
        <v>25</v>
      </c>
      <c r="K50" s="2">
        <f t="shared" si="2"/>
        <v>45962.83085648148</v>
      </c>
      <c r="S50" s="4">
        <f t="shared" ca="1" si="1"/>
        <v>153.16914351852029</v>
      </c>
    </row>
    <row r="51" spans="1:19" hidden="1" x14ac:dyDescent="0.35">
      <c r="A51">
        <v>57</v>
      </c>
      <c r="B51" t="s">
        <v>86</v>
      </c>
      <c r="C51" t="s">
        <v>87</v>
      </c>
      <c r="D51" t="s">
        <v>19</v>
      </c>
      <c r="E51" t="s">
        <v>20</v>
      </c>
      <c r="F51" t="s">
        <v>24</v>
      </c>
      <c r="G51" s="2">
        <v>45961.89671296296</v>
      </c>
      <c r="H51" s="2">
        <v>45961.9375</v>
      </c>
      <c r="I51" t="s">
        <v>24</v>
      </c>
      <c r="J51" t="s">
        <v>25</v>
      </c>
      <c r="K51" s="2">
        <f t="shared" si="2"/>
        <v>45964.89671296296</v>
      </c>
      <c r="S51" s="4">
        <f t="shared" ca="1" si="1"/>
        <v>151.10328703703999</v>
      </c>
    </row>
    <row r="52" spans="1:19" hidden="1" x14ac:dyDescent="0.35">
      <c r="A52">
        <v>58</v>
      </c>
      <c r="B52" t="s">
        <v>22</v>
      </c>
      <c r="C52" t="s">
        <v>88</v>
      </c>
      <c r="D52" t="s">
        <v>19</v>
      </c>
      <c r="E52" t="s">
        <v>20</v>
      </c>
      <c r="F52" t="s">
        <v>24</v>
      </c>
      <c r="G52" s="2">
        <v>45962.390416666669</v>
      </c>
      <c r="H52" s="2">
        <v>45962.5</v>
      </c>
      <c r="I52" t="s">
        <v>24</v>
      </c>
      <c r="J52" t="s">
        <v>25</v>
      </c>
      <c r="K52" s="2">
        <f t="shared" si="2"/>
        <v>45965.390416666669</v>
      </c>
      <c r="S52" s="4">
        <f t="shared" ca="1" si="1"/>
        <v>150.6095833333311</v>
      </c>
    </row>
    <row r="53" spans="1:19" hidden="1" x14ac:dyDescent="0.35">
      <c r="A53">
        <v>59</v>
      </c>
      <c r="B53" t="s">
        <v>89</v>
      </c>
      <c r="C53" t="s">
        <v>90</v>
      </c>
      <c r="D53" t="s">
        <v>19</v>
      </c>
      <c r="E53" t="s">
        <v>20</v>
      </c>
      <c r="F53" t="s">
        <v>24</v>
      </c>
      <c r="G53" s="2">
        <v>45962.66673611111</v>
      </c>
      <c r="H53" s="2">
        <v>45962.738888888889</v>
      </c>
      <c r="I53" t="s">
        <v>24</v>
      </c>
      <c r="J53" t="s">
        <v>25</v>
      </c>
      <c r="K53" s="2">
        <f t="shared" si="2"/>
        <v>45965.66673611111</v>
      </c>
      <c r="S53" s="4">
        <f t="shared" ca="1" si="1"/>
        <v>150.33326388888963</v>
      </c>
    </row>
    <row r="54" spans="1:19" hidden="1" x14ac:dyDescent="0.35">
      <c r="A54">
        <v>60</v>
      </c>
      <c r="B54" t="s">
        <v>91</v>
      </c>
      <c r="C54" t="s">
        <v>92</v>
      </c>
      <c r="D54" t="s">
        <v>19</v>
      </c>
      <c r="E54" t="s">
        <v>20</v>
      </c>
      <c r="F54" t="s">
        <v>24</v>
      </c>
      <c r="G54" s="2">
        <v>45963.325300925928</v>
      </c>
      <c r="H54" s="2">
        <v>45963.5</v>
      </c>
      <c r="I54" t="s">
        <v>24</v>
      </c>
      <c r="J54" t="s">
        <v>25</v>
      </c>
      <c r="K54" s="2">
        <f t="shared" si="2"/>
        <v>45966.325300925928</v>
      </c>
      <c r="S54" s="4">
        <f t="shared" ca="1" si="1"/>
        <v>149.67469907407212</v>
      </c>
    </row>
    <row r="55" spans="1:19" hidden="1" x14ac:dyDescent="0.35">
      <c r="A55">
        <v>61</v>
      </c>
      <c r="B55" t="s">
        <v>93</v>
      </c>
      <c r="C55" t="s">
        <v>94</v>
      </c>
      <c r="D55" t="s">
        <v>19</v>
      </c>
      <c r="E55" t="s">
        <v>20</v>
      </c>
      <c r="F55" t="s">
        <v>24</v>
      </c>
      <c r="G55" s="2">
        <v>45963.663414351853</v>
      </c>
      <c r="H55" s="2">
        <v>45963.708333333336</v>
      </c>
      <c r="I55" t="s">
        <v>24</v>
      </c>
      <c r="J55" t="s">
        <v>25</v>
      </c>
      <c r="K55" s="2">
        <f t="shared" si="2"/>
        <v>45966.663414351853</v>
      </c>
      <c r="S55" s="4">
        <f t="shared" ca="1" si="1"/>
        <v>149.33658564814687</v>
      </c>
    </row>
    <row r="56" spans="1:19" hidden="1" x14ac:dyDescent="0.35">
      <c r="A56">
        <v>62</v>
      </c>
      <c r="B56" t="s">
        <v>95</v>
      </c>
      <c r="C56" t="s">
        <v>95</v>
      </c>
      <c r="D56" t="s">
        <v>27</v>
      </c>
      <c r="E56" t="s">
        <v>20</v>
      </c>
      <c r="F56" t="s">
        <v>96</v>
      </c>
      <c r="G56" s="2">
        <v>45981.618518518517</v>
      </c>
      <c r="I56" t="s">
        <v>96</v>
      </c>
      <c r="J56" t="s">
        <v>97</v>
      </c>
      <c r="K56" s="2">
        <f t="shared" si="2"/>
        <v>45984.618518518517</v>
      </c>
      <c r="S56" s="4">
        <f t="shared" ca="1" si="1"/>
        <v>131.38148148148321</v>
      </c>
    </row>
    <row r="57" spans="1:19" hidden="1" x14ac:dyDescent="0.35">
      <c r="A57">
        <v>63</v>
      </c>
      <c r="B57" t="s">
        <v>98</v>
      </c>
      <c r="C57" t="s">
        <v>99</v>
      </c>
      <c r="D57" t="s">
        <v>19</v>
      </c>
      <c r="E57" t="s">
        <v>20</v>
      </c>
      <c r="F57" t="s">
        <v>100</v>
      </c>
      <c r="G57" s="2">
        <v>45982.634432870371</v>
      </c>
      <c r="I57" t="s">
        <v>100</v>
      </c>
      <c r="K57" s="2">
        <f t="shared" si="2"/>
        <v>45985.634432870371</v>
      </c>
      <c r="S57" s="4">
        <f t="shared" ca="1" si="1"/>
        <v>130.3655671296292</v>
      </c>
    </row>
    <row r="58" spans="1:19" hidden="1" x14ac:dyDescent="0.35">
      <c r="A58">
        <v>64</v>
      </c>
      <c r="B58" t="s">
        <v>101</v>
      </c>
      <c r="C58" t="s">
        <v>102</v>
      </c>
      <c r="D58" t="s">
        <v>19</v>
      </c>
      <c r="E58" t="s">
        <v>20</v>
      </c>
      <c r="F58" t="s">
        <v>100</v>
      </c>
      <c r="G58" s="2">
        <v>45982.635057870371</v>
      </c>
      <c r="I58" t="s">
        <v>100</v>
      </c>
      <c r="K58" s="2">
        <f t="shared" si="2"/>
        <v>45985.635057870371</v>
      </c>
      <c r="S58" s="4">
        <f t="shared" ca="1" si="1"/>
        <v>130.36494212962862</v>
      </c>
    </row>
    <row r="59" spans="1:19" hidden="1" x14ac:dyDescent="0.35">
      <c r="A59">
        <v>65</v>
      </c>
      <c r="B59" t="s">
        <v>103</v>
      </c>
      <c r="C59" t="s">
        <v>103</v>
      </c>
      <c r="D59" t="s">
        <v>19</v>
      </c>
      <c r="E59" t="s">
        <v>20</v>
      </c>
      <c r="F59" t="s">
        <v>100</v>
      </c>
      <c r="G59" s="2">
        <v>45988.461689814816</v>
      </c>
      <c r="I59" t="s">
        <v>100</v>
      </c>
      <c r="K59" s="2">
        <f t="shared" si="2"/>
        <v>45991.461689814816</v>
      </c>
      <c r="L59" s="2">
        <v>45988.463067129633</v>
      </c>
      <c r="M59" t="s">
        <v>100</v>
      </c>
      <c r="N59" t="s">
        <v>104</v>
      </c>
      <c r="O59" t="s">
        <v>105</v>
      </c>
      <c r="P59" t="s">
        <v>106</v>
      </c>
      <c r="S59" s="4">
        <f t="shared" ca="1" si="1"/>
        <v>124.53831018518395</v>
      </c>
    </row>
    <row r="60" spans="1:19" hidden="1" x14ac:dyDescent="0.35">
      <c r="A60">
        <v>65</v>
      </c>
      <c r="B60" t="s">
        <v>103</v>
      </c>
      <c r="C60" t="s">
        <v>103</v>
      </c>
      <c r="D60" t="s">
        <v>19</v>
      </c>
      <c r="E60" t="s">
        <v>20</v>
      </c>
      <c r="F60" t="s">
        <v>100</v>
      </c>
      <c r="G60" s="2">
        <v>45988.461689814816</v>
      </c>
      <c r="I60" t="s">
        <v>100</v>
      </c>
      <c r="K60" s="2">
        <f t="shared" si="2"/>
        <v>45991.461689814816</v>
      </c>
      <c r="L60" s="2">
        <v>45988.465763888889</v>
      </c>
      <c r="M60" t="s">
        <v>100</v>
      </c>
      <c r="N60" t="s">
        <v>107</v>
      </c>
      <c r="O60" t="s">
        <v>107</v>
      </c>
      <c r="P60" t="s">
        <v>106</v>
      </c>
      <c r="S60" s="4">
        <f t="shared" ca="1" si="1"/>
        <v>124.53831018518395</v>
      </c>
    </row>
    <row r="61" spans="1:19" hidden="1" x14ac:dyDescent="0.35">
      <c r="A61">
        <v>66</v>
      </c>
      <c r="B61" t="s">
        <v>108</v>
      </c>
      <c r="C61" t="s">
        <v>109</v>
      </c>
      <c r="D61" t="s">
        <v>19</v>
      </c>
      <c r="E61" t="s">
        <v>20</v>
      </c>
      <c r="F61" t="s">
        <v>100</v>
      </c>
      <c r="G61" s="2">
        <v>45988.473749999997</v>
      </c>
      <c r="H61" s="2">
        <v>45995.473611111112</v>
      </c>
      <c r="I61" t="s">
        <v>100</v>
      </c>
      <c r="K61" s="2">
        <f t="shared" si="2"/>
        <v>45991.473749999997</v>
      </c>
      <c r="L61" s="2">
        <v>45988.474432870367</v>
      </c>
      <c r="M61" t="s">
        <v>100</v>
      </c>
      <c r="N61" t="s">
        <v>110</v>
      </c>
      <c r="O61" t="s">
        <v>111</v>
      </c>
      <c r="P61" t="s">
        <v>106</v>
      </c>
      <c r="S61" s="4">
        <f t="shared" ca="1" si="1"/>
        <v>124.52625000000262</v>
      </c>
    </row>
    <row r="62" spans="1:19" hidden="1" x14ac:dyDescent="0.35">
      <c r="A62">
        <v>66</v>
      </c>
      <c r="B62" t="s">
        <v>108</v>
      </c>
      <c r="C62" t="s">
        <v>109</v>
      </c>
      <c r="D62" t="s">
        <v>19</v>
      </c>
      <c r="E62" t="s">
        <v>20</v>
      </c>
      <c r="F62" t="s">
        <v>100</v>
      </c>
      <c r="G62" s="2">
        <v>45988.473749999997</v>
      </c>
      <c r="H62" s="2">
        <v>45995.473611111112</v>
      </c>
      <c r="I62" t="s">
        <v>100</v>
      </c>
      <c r="K62" s="2">
        <f t="shared" si="2"/>
        <v>45991.473749999997</v>
      </c>
      <c r="L62" s="2">
        <v>45989.381979166668</v>
      </c>
      <c r="M62" t="s">
        <v>100</v>
      </c>
      <c r="N62" t="s">
        <v>110</v>
      </c>
      <c r="O62" t="s">
        <v>111</v>
      </c>
      <c r="P62" t="s">
        <v>106</v>
      </c>
      <c r="S62" s="4">
        <f t="shared" ca="1" si="1"/>
        <v>124.52625000000262</v>
      </c>
    </row>
    <row r="63" spans="1:19" hidden="1" x14ac:dyDescent="0.35">
      <c r="A63">
        <v>67</v>
      </c>
      <c r="B63" t="s">
        <v>112</v>
      </c>
      <c r="C63" t="s">
        <v>113</v>
      </c>
      <c r="D63" t="s">
        <v>19</v>
      </c>
      <c r="E63" t="s">
        <v>20</v>
      </c>
      <c r="F63" t="s">
        <v>100</v>
      </c>
      <c r="G63" s="2">
        <v>45988.476053240738</v>
      </c>
      <c r="H63" s="2">
        <v>45996.475694444445</v>
      </c>
      <c r="I63" t="s">
        <v>100</v>
      </c>
      <c r="K63" s="2">
        <f t="shared" si="2"/>
        <v>45991.476053240738</v>
      </c>
      <c r="L63" s="2">
        <v>45988.477013888885</v>
      </c>
      <c r="M63" t="s">
        <v>100</v>
      </c>
      <c r="N63" t="s">
        <v>114</v>
      </c>
      <c r="O63" t="s">
        <v>115</v>
      </c>
      <c r="P63" t="s">
        <v>106</v>
      </c>
      <c r="S63" s="4">
        <f t="shared" ca="1" si="1"/>
        <v>124.52394675926189</v>
      </c>
    </row>
    <row r="64" spans="1:19" hidden="1" x14ac:dyDescent="0.35">
      <c r="A64">
        <v>67</v>
      </c>
      <c r="B64" t="s">
        <v>112</v>
      </c>
      <c r="C64" t="s">
        <v>113</v>
      </c>
      <c r="D64" t="s">
        <v>19</v>
      </c>
      <c r="E64" t="s">
        <v>20</v>
      </c>
      <c r="F64" t="s">
        <v>100</v>
      </c>
      <c r="G64" s="2">
        <v>45988.476053240738</v>
      </c>
      <c r="H64" s="2">
        <v>45996.475694444445</v>
      </c>
      <c r="I64" t="s">
        <v>100</v>
      </c>
      <c r="K64" s="2">
        <f t="shared" si="2"/>
        <v>45991.476053240738</v>
      </c>
      <c r="L64" s="2">
        <v>46033.895856481482</v>
      </c>
      <c r="M64" t="s">
        <v>100</v>
      </c>
      <c r="N64" t="s">
        <v>116</v>
      </c>
      <c r="O64" t="s">
        <v>116</v>
      </c>
      <c r="P64" t="s">
        <v>117</v>
      </c>
      <c r="Q64" t="s">
        <v>100</v>
      </c>
      <c r="R64" t="s">
        <v>118</v>
      </c>
      <c r="S64" s="4">
        <f t="shared" ca="1" si="1"/>
        <v>124.52394675926189</v>
      </c>
    </row>
    <row r="65" spans="1:19" hidden="1" x14ac:dyDescent="0.35">
      <c r="A65">
        <v>68</v>
      </c>
      <c r="B65" t="s">
        <v>119</v>
      </c>
      <c r="C65" t="s">
        <v>120</v>
      </c>
      <c r="D65" t="s">
        <v>19</v>
      </c>
      <c r="E65" t="s">
        <v>20</v>
      </c>
      <c r="F65" t="s">
        <v>100</v>
      </c>
      <c r="G65" s="2">
        <v>45988.478518518517</v>
      </c>
      <c r="H65" s="2">
        <v>46003.477777777778</v>
      </c>
      <c r="I65" t="s">
        <v>100</v>
      </c>
      <c r="K65" s="2">
        <f t="shared" si="2"/>
        <v>45991.478518518517</v>
      </c>
      <c r="L65" s="2">
        <v>45988.506898148145</v>
      </c>
      <c r="M65" t="s">
        <v>100</v>
      </c>
      <c r="N65" t="s">
        <v>121</v>
      </c>
      <c r="O65" t="s">
        <v>122</v>
      </c>
      <c r="P65" t="s">
        <v>106</v>
      </c>
      <c r="S65" s="4">
        <f t="shared" ca="1" si="1"/>
        <v>124.52148148148262</v>
      </c>
    </row>
    <row r="66" spans="1:19" hidden="1" x14ac:dyDescent="0.35">
      <c r="A66">
        <v>69</v>
      </c>
      <c r="B66" t="s">
        <v>123</v>
      </c>
      <c r="C66" t="s">
        <v>123</v>
      </c>
      <c r="D66" t="s">
        <v>19</v>
      </c>
      <c r="E66" t="s">
        <v>20</v>
      </c>
      <c r="F66" t="s">
        <v>100</v>
      </c>
      <c r="G66" s="2">
        <v>45988.503587962965</v>
      </c>
      <c r="I66" t="s">
        <v>100</v>
      </c>
      <c r="K66" s="2">
        <f t="shared" si="2"/>
        <v>45991.503587962965</v>
      </c>
      <c r="L66" s="2">
        <v>45988.504004629627</v>
      </c>
      <c r="M66" t="s">
        <v>100</v>
      </c>
      <c r="N66" t="s">
        <v>124</v>
      </c>
      <c r="O66" t="s">
        <v>124</v>
      </c>
      <c r="P66" t="s">
        <v>106</v>
      </c>
      <c r="S66" s="4">
        <f t="shared" ca="1" si="1"/>
        <v>124.49641203703504</v>
      </c>
    </row>
    <row r="67" spans="1:19" hidden="1" x14ac:dyDescent="0.35">
      <c r="A67">
        <v>69</v>
      </c>
      <c r="B67" t="s">
        <v>123</v>
      </c>
      <c r="C67" t="s">
        <v>123</v>
      </c>
      <c r="D67" t="s">
        <v>19</v>
      </c>
      <c r="E67" t="s">
        <v>20</v>
      </c>
      <c r="F67" t="s">
        <v>100</v>
      </c>
      <c r="G67" s="2">
        <v>45988.503587962965</v>
      </c>
      <c r="I67" t="s">
        <v>100</v>
      </c>
      <c r="K67" s="2">
        <f t="shared" si="2"/>
        <v>45991.503587962965</v>
      </c>
      <c r="L67" s="2">
        <v>45988.504560185182</v>
      </c>
      <c r="M67" t="s">
        <v>100</v>
      </c>
      <c r="N67" t="s">
        <v>125</v>
      </c>
      <c r="O67" t="s">
        <v>126</v>
      </c>
      <c r="P67" t="s">
        <v>106</v>
      </c>
      <c r="S67" s="4">
        <f t="shared" ref="S67:S130" ca="1" si="3">TODAY()-G67</f>
        <v>124.49641203703504</v>
      </c>
    </row>
    <row r="68" spans="1:19" hidden="1" x14ac:dyDescent="0.35">
      <c r="A68">
        <v>70</v>
      </c>
      <c r="B68" t="s">
        <v>127</v>
      </c>
      <c r="C68" t="s">
        <v>128</v>
      </c>
      <c r="D68" t="s">
        <v>19</v>
      </c>
      <c r="E68" t="s">
        <v>20</v>
      </c>
      <c r="F68" t="s">
        <v>100</v>
      </c>
      <c r="G68" s="2">
        <v>45988.511377314811</v>
      </c>
      <c r="H68" s="2">
        <v>45996.5</v>
      </c>
      <c r="I68" t="s">
        <v>100</v>
      </c>
      <c r="K68" s="2">
        <f t="shared" si="2"/>
        <v>45991.511377314811</v>
      </c>
      <c r="L68" s="2">
        <v>45988.513136574074</v>
      </c>
      <c r="M68" t="s">
        <v>100</v>
      </c>
      <c r="N68" t="s">
        <v>129</v>
      </c>
      <c r="O68" t="s">
        <v>130</v>
      </c>
      <c r="P68" t="s">
        <v>106</v>
      </c>
      <c r="S68" s="4">
        <f t="shared" ca="1" si="3"/>
        <v>124.4886226851886</v>
      </c>
    </row>
    <row r="69" spans="1:19" hidden="1" x14ac:dyDescent="0.35">
      <c r="A69">
        <v>71</v>
      </c>
      <c r="B69" t="s">
        <v>131</v>
      </c>
      <c r="C69" t="s">
        <v>131</v>
      </c>
      <c r="D69" t="s">
        <v>19</v>
      </c>
      <c r="E69" t="s">
        <v>20</v>
      </c>
      <c r="F69" t="s">
        <v>100</v>
      </c>
      <c r="G69" s="2">
        <v>45989.368761574071</v>
      </c>
      <c r="H69" s="2">
        <v>46006.368055555555</v>
      </c>
      <c r="I69" t="s">
        <v>100</v>
      </c>
      <c r="K69" s="2">
        <f t="shared" si="2"/>
        <v>45992.368761574071</v>
      </c>
      <c r="L69" s="2">
        <v>45989.370868055557</v>
      </c>
      <c r="M69" t="s">
        <v>100</v>
      </c>
      <c r="N69" t="s">
        <v>132</v>
      </c>
      <c r="O69" t="s">
        <v>133</v>
      </c>
      <c r="P69" t="s">
        <v>106</v>
      </c>
      <c r="S69" s="4">
        <f t="shared" ca="1" si="3"/>
        <v>123.63123842592904</v>
      </c>
    </row>
    <row r="70" spans="1:19" hidden="1" x14ac:dyDescent="0.35">
      <c r="A70">
        <v>71</v>
      </c>
      <c r="B70" t="s">
        <v>131</v>
      </c>
      <c r="C70" t="s">
        <v>131</v>
      </c>
      <c r="D70" t="s">
        <v>19</v>
      </c>
      <c r="E70" t="s">
        <v>20</v>
      </c>
      <c r="F70" t="s">
        <v>100</v>
      </c>
      <c r="G70" s="2">
        <v>45989.368761574071</v>
      </c>
      <c r="H70" s="2">
        <v>46006.368055555555</v>
      </c>
      <c r="I70" t="s">
        <v>100</v>
      </c>
      <c r="K70" s="2">
        <f t="shared" si="2"/>
        <v>45992.368761574071</v>
      </c>
      <c r="L70" s="2">
        <v>45989.372557870367</v>
      </c>
      <c r="M70" t="s">
        <v>100</v>
      </c>
      <c r="N70" t="s">
        <v>134</v>
      </c>
      <c r="O70" t="s">
        <v>135</v>
      </c>
      <c r="P70" t="s">
        <v>106</v>
      </c>
      <c r="S70" s="4">
        <f t="shared" ca="1" si="3"/>
        <v>123.63123842592904</v>
      </c>
    </row>
    <row r="71" spans="1:19" hidden="1" x14ac:dyDescent="0.35">
      <c r="A71">
        <v>71</v>
      </c>
      <c r="B71" t="s">
        <v>131</v>
      </c>
      <c r="C71" t="s">
        <v>131</v>
      </c>
      <c r="D71" t="s">
        <v>19</v>
      </c>
      <c r="E71" t="s">
        <v>20</v>
      </c>
      <c r="F71" t="s">
        <v>100</v>
      </c>
      <c r="G71" s="2">
        <v>45989.368761574071</v>
      </c>
      <c r="H71" s="2">
        <v>46006.368055555555</v>
      </c>
      <c r="I71" t="s">
        <v>100</v>
      </c>
      <c r="K71" s="2">
        <f t="shared" si="2"/>
        <v>45992.368761574071</v>
      </c>
      <c r="L71" s="2">
        <v>45989.373136574075</v>
      </c>
      <c r="M71" t="s">
        <v>100</v>
      </c>
      <c r="N71" t="s">
        <v>136</v>
      </c>
      <c r="O71" t="s">
        <v>136</v>
      </c>
      <c r="P71" t="s">
        <v>106</v>
      </c>
      <c r="S71" s="4">
        <f t="shared" ca="1" si="3"/>
        <v>123.63123842592904</v>
      </c>
    </row>
    <row r="72" spans="1:19" hidden="1" x14ac:dyDescent="0.35">
      <c r="A72">
        <v>71</v>
      </c>
      <c r="B72" t="s">
        <v>131</v>
      </c>
      <c r="C72" t="s">
        <v>131</v>
      </c>
      <c r="D72" t="s">
        <v>19</v>
      </c>
      <c r="E72" t="s">
        <v>20</v>
      </c>
      <c r="F72" t="s">
        <v>100</v>
      </c>
      <c r="G72" s="2">
        <v>45989.368761574071</v>
      </c>
      <c r="H72" s="2">
        <v>46006.368055555555</v>
      </c>
      <c r="I72" t="s">
        <v>100</v>
      </c>
      <c r="K72" s="2">
        <f t="shared" si="2"/>
        <v>45992.368761574071</v>
      </c>
      <c r="L72" s="2">
        <v>45989.37363425926</v>
      </c>
      <c r="M72" t="s">
        <v>100</v>
      </c>
      <c r="N72" t="s">
        <v>137</v>
      </c>
      <c r="O72" t="s">
        <v>137</v>
      </c>
      <c r="P72" t="s">
        <v>106</v>
      </c>
      <c r="S72" s="4">
        <f t="shared" ca="1" si="3"/>
        <v>123.63123842592904</v>
      </c>
    </row>
    <row r="73" spans="1:19" hidden="1" x14ac:dyDescent="0.35">
      <c r="A73">
        <v>71</v>
      </c>
      <c r="B73" t="s">
        <v>131</v>
      </c>
      <c r="C73" t="s">
        <v>131</v>
      </c>
      <c r="D73" t="s">
        <v>19</v>
      </c>
      <c r="E73" t="s">
        <v>20</v>
      </c>
      <c r="F73" t="s">
        <v>100</v>
      </c>
      <c r="G73" s="2">
        <v>45989.368761574071</v>
      </c>
      <c r="H73" s="2">
        <v>46006.368055555555</v>
      </c>
      <c r="I73" t="s">
        <v>100</v>
      </c>
      <c r="K73" s="2">
        <f t="shared" si="2"/>
        <v>45992.368761574071</v>
      </c>
      <c r="L73" s="2">
        <v>45989.414652777778</v>
      </c>
      <c r="M73" t="s">
        <v>100</v>
      </c>
      <c r="N73" t="s">
        <v>138</v>
      </c>
      <c r="O73" t="s">
        <v>139</v>
      </c>
      <c r="P73" t="s">
        <v>106</v>
      </c>
      <c r="S73" s="4">
        <f t="shared" ca="1" si="3"/>
        <v>123.63123842592904</v>
      </c>
    </row>
    <row r="74" spans="1:19" hidden="1" x14ac:dyDescent="0.35">
      <c r="A74">
        <v>71</v>
      </c>
      <c r="B74" t="s">
        <v>131</v>
      </c>
      <c r="C74" t="s">
        <v>131</v>
      </c>
      <c r="D74" t="s">
        <v>19</v>
      </c>
      <c r="E74" t="s">
        <v>20</v>
      </c>
      <c r="F74" t="s">
        <v>100</v>
      </c>
      <c r="G74" s="2">
        <v>45989.368761574071</v>
      </c>
      <c r="H74" s="2">
        <v>46006.368055555555</v>
      </c>
      <c r="I74" t="s">
        <v>100</v>
      </c>
      <c r="K74" s="2">
        <f t="shared" si="2"/>
        <v>45992.368761574071</v>
      </c>
      <c r="L74" s="2">
        <v>45989.414942129632</v>
      </c>
      <c r="M74" t="s">
        <v>100</v>
      </c>
      <c r="N74" t="s">
        <v>138</v>
      </c>
      <c r="O74" t="s">
        <v>140</v>
      </c>
      <c r="P74" t="s">
        <v>106</v>
      </c>
      <c r="S74" s="4">
        <f t="shared" ca="1" si="3"/>
        <v>123.63123842592904</v>
      </c>
    </row>
    <row r="75" spans="1:19" hidden="1" x14ac:dyDescent="0.35">
      <c r="A75">
        <v>71</v>
      </c>
      <c r="B75" t="s">
        <v>131</v>
      </c>
      <c r="C75" t="s">
        <v>131</v>
      </c>
      <c r="D75" t="s">
        <v>19</v>
      </c>
      <c r="E75" t="s">
        <v>20</v>
      </c>
      <c r="F75" t="s">
        <v>100</v>
      </c>
      <c r="G75" s="2">
        <v>45989.368761574071</v>
      </c>
      <c r="H75" s="2">
        <v>46006.368055555555</v>
      </c>
      <c r="I75" t="s">
        <v>100</v>
      </c>
      <c r="K75" s="2">
        <f t="shared" si="2"/>
        <v>45992.368761574071</v>
      </c>
      <c r="L75" s="2">
        <v>45989.415960648148</v>
      </c>
      <c r="M75" t="s">
        <v>100</v>
      </c>
      <c r="N75" t="s">
        <v>138</v>
      </c>
      <c r="O75" t="s">
        <v>141</v>
      </c>
      <c r="P75" t="s">
        <v>106</v>
      </c>
      <c r="S75" s="4">
        <f t="shared" ca="1" si="3"/>
        <v>123.63123842592904</v>
      </c>
    </row>
    <row r="76" spans="1:19" hidden="1" x14ac:dyDescent="0.35">
      <c r="A76">
        <v>71</v>
      </c>
      <c r="B76" t="s">
        <v>131</v>
      </c>
      <c r="C76" t="s">
        <v>131</v>
      </c>
      <c r="D76" t="s">
        <v>19</v>
      </c>
      <c r="E76" t="s">
        <v>20</v>
      </c>
      <c r="F76" t="s">
        <v>100</v>
      </c>
      <c r="G76" s="2">
        <v>45989.368761574071</v>
      </c>
      <c r="H76" s="2">
        <v>46006.368055555555</v>
      </c>
      <c r="I76" t="s">
        <v>100</v>
      </c>
      <c r="K76" s="2">
        <f t="shared" si="2"/>
        <v>45992.368761574071</v>
      </c>
      <c r="L76" s="2">
        <v>45989.415995370371</v>
      </c>
      <c r="M76" t="s">
        <v>100</v>
      </c>
      <c r="N76" t="s">
        <v>142</v>
      </c>
      <c r="O76" t="s">
        <v>143</v>
      </c>
      <c r="P76" t="s">
        <v>106</v>
      </c>
      <c r="S76" s="4">
        <f t="shared" ca="1" si="3"/>
        <v>123.63123842592904</v>
      </c>
    </row>
    <row r="77" spans="1:19" hidden="1" x14ac:dyDescent="0.35">
      <c r="A77">
        <v>71</v>
      </c>
      <c r="B77" t="s">
        <v>131</v>
      </c>
      <c r="C77" t="s">
        <v>131</v>
      </c>
      <c r="D77" t="s">
        <v>19</v>
      </c>
      <c r="E77" t="s">
        <v>20</v>
      </c>
      <c r="F77" t="s">
        <v>100</v>
      </c>
      <c r="G77" s="2">
        <v>45989.368761574071</v>
      </c>
      <c r="H77" s="2">
        <v>46006.368055555555</v>
      </c>
      <c r="I77" t="s">
        <v>100</v>
      </c>
      <c r="K77" s="2">
        <f t="shared" si="2"/>
        <v>45992.368761574071</v>
      </c>
      <c r="L77" s="2">
        <v>45989.418124999997</v>
      </c>
      <c r="M77" t="s">
        <v>100</v>
      </c>
      <c r="N77" t="s">
        <v>144</v>
      </c>
      <c r="O77" t="s">
        <v>145</v>
      </c>
      <c r="P77" t="s">
        <v>106</v>
      </c>
      <c r="S77" s="4">
        <f t="shared" ca="1" si="3"/>
        <v>123.63123842592904</v>
      </c>
    </row>
    <row r="78" spans="1:19" hidden="1" x14ac:dyDescent="0.35">
      <c r="A78">
        <v>71</v>
      </c>
      <c r="B78" t="s">
        <v>131</v>
      </c>
      <c r="C78" t="s">
        <v>131</v>
      </c>
      <c r="D78" t="s">
        <v>19</v>
      </c>
      <c r="E78" t="s">
        <v>20</v>
      </c>
      <c r="F78" t="s">
        <v>100</v>
      </c>
      <c r="G78" s="2">
        <v>45989.368761574071</v>
      </c>
      <c r="H78" s="2">
        <v>46006.368055555555</v>
      </c>
      <c r="I78" t="s">
        <v>100</v>
      </c>
      <c r="K78" s="2">
        <f t="shared" si="2"/>
        <v>45992.368761574071</v>
      </c>
      <c r="L78" s="2">
        <v>45989.418379629627</v>
      </c>
      <c r="M78" t="s">
        <v>100</v>
      </c>
      <c r="N78" t="s">
        <v>146</v>
      </c>
      <c r="O78" t="s">
        <v>147</v>
      </c>
      <c r="P78" t="s">
        <v>106</v>
      </c>
      <c r="S78" s="4">
        <f t="shared" ca="1" si="3"/>
        <v>123.63123842592904</v>
      </c>
    </row>
    <row r="79" spans="1:19" hidden="1" x14ac:dyDescent="0.35">
      <c r="A79">
        <v>71</v>
      </c>
      <c r="B79" t="s">
        <v>131</v>
      </c>
      <c r="C79" t="s">
        <v>131</v>
      </c>
      <c r="D79" t="s">
        <v>19</v>
      </c>
      <c r="E79" t="s">
        <v>20</v>
      </c>
      <c r="F79" t="s">
        <v>100</v>
      </c>
      <c r="G79" s="2">
        <v>45989.368761574071</v>
      </c>
      <c r="H79" s="2">
        <v>46006.368055555555</v>
      </c>
      <c r="I79" t="s">
        <v>100</v>
      </c>
      <c r="K79" s="2">
        <f t="shared" si="2"/>
        <v>45992.368761574071</v>
      </c>
      <c r="L79" s="2">
        <v>45989.433611111112</v>
      </c>
      <c r="M79" t="s">
        <v>100</v>
      </c>
      <c r="N79" t="s">
        <v>146</v>
      </c>
      <c r="O79" t="s">
        <v>148</v>
      </c>
      <c r="P79" t="s">
        <v>106</v>
      </c>
      <c r="S79" s="4">
        <f t="shared" ca="1" si="3"/>
        <v>123.63123842592904</v>
      </c>
    </row>
    <row r="80" spans="1:19" hidden="1" x14ac:dyDescent="0.35">
      <c r="A80">
        <v>71</v>
      </c>
      <c r="B80" t="s">
        <v>131</v>
      </c>
      <c r="C80" t="s">
        <v>131</v>
      </c>
      <c r="D80" t="s">
        <v>19</v>
      </c>
      <c r="E80" t="s">
        <v>20</v>
      </c>
      <c r="F80" t="s">
        <v>100</v>
      </c>
      <c r="G80" s="2">
        <v>45989.368761574071</v>
      </c>
      <c r="H80" s="2">
        <v>46006.368055555555</v>
      </c>
      <c r="I80" t="s">
        <v>100</v>
      </c>
      <c r="K80" s="2">
        <f t="shared" si="2"/>
        <v>45992.368761574071</v>
      </c>
      <c r="L80" s="2">
        <v>45989.449675925927</v>
      </c>
      <c r="M80" t="s">
        <v>100</v>
      </c>
      <c r="N80" t="s">
        <v>149</v>
      </c>
      <c r="O80" t="s">
        <v>150</v>
      </c>
      <c r="P80" t="s">
        <v>106</v>
      </c>
      <c r="S80" s="4">
        <f t="shared" ca="1" si="3"/>
        <v>123.63123842592904</v>
      </c>
    </row>
    <row r="81" spans="1:19" hidden="1" x14ac:dyDescent="0.35">
      <c r="A81">
        <v>71</v>
      </c>
      <c r="B81" t="s">
        <v>131</v>
      </c>
      <c r="C81" t="s">
        <v>131</v>
      </c>
      <c r="D81" t="s">
        <v>19</v>
      </c>
      <c r="E81" t="s">
        <v>20</v>
      </c>
      <c r="F81" t="s">
        <v>100</v>
      </c>
      <c r="G81" s="2">
        <v>45989.368761574071</v>
      </c>
      <c r="H81" s="2">
        <v>46006.368055555555</v>
      </c>
      <c r="I81" t="s">
        <v>100</v>
      </c>
      <c r="K81" s="2">
        <f t="shared" si="2"/>
        <v>45992.368761574071</v>
      </c>
      <c r="L81" s="2">
        <v>45989.450092592589</v>
      </c>
      <c r="M81" t="s">
        <v>100</v>
      </c>
      <c r="N81" t="s">
        <v>151</v>
      </c>
      <c r="O81" t="s">
        <v>152</v>
      </c>
      <c r="P81" t="s">
        <v>106</v>
      </c>
      <c r="S81" s="4">
        <f t="shared" ca="1" si="3"/>
        <v>123.63123842592904</v>
      </c>
    </row>
    <row r="82" spans="1:19" hidden="1" x14ac:dyDescent="0.35">
      <c r="A82">
        <v>71</v>
      </c>
      <c r="B82" t="s">
        <v>131</v>
      </c>
      <c r="C82" t="s">
        <v>131</v>
      </c>
      <c r="D82" t="s">
        <v>19</v>
      </c>
      <c r="E82" t="s">
        <v>20</v>
      </c>
      <c r="F82" t="s">
        <v>100</v>
      </c>
      <c r="G82" s="2">
        <v>45989.368761574071</v>
      </c>
      <c r="H82" s="2">
        <v>46006.368055555555</v>
      </c>
      <c r="I82" t="s">
        <v>100</v>
      </c>
      <c r="K82" s="2">
        <f t="shared" si="2"/>
        <v>45992.368761574071</v>
      </c>
      <c r="L82" s="2">
        <v>45989.450358796297</v>
      </c>
      <c r="M82" t="s">
        <v>100</v>
      </c>
      <c r="N82" t="s">
        <v>107</v>
      </c>
      <c r="O82" t="s">
        <v>153</v>
      </c>
      <c r="P82" t="s">
        <v>106</v>
      </c>
      <c r="S82" s="4">
        <f t="shared" ca="1" si="3"/>
        <v>123.63123842592904</v>
      </c>
    </row>
    <row r="83" spans="1:19" hidden="1" x14ac:dyDescent="0.35">
      <c r="A83">
        <v>72</v>
      </c>
      <c r="B83" t="s">
        <v>44</v>
      </c>
      <c r="C83" t="s">
        <v>154</v>
      </c>
      <c r="D83" t="s">
        <v>19</v>
      </c>
      <c r="E83" t="s">
        <v>20</v>
      </c>
      <c r="F83" t="s">
        <v>155</v>
      </c>
      <c r="G83" s="2">
        <v>45990.351400462961</v>
      </c>
      <c r="H83" s="2">
        <v>45990.350694444445</v>
      </c>
      <c r="I83" t="s">
        <v>155</v>
      </c>
      <c r="J83" t="s">
        <v>49</v>
      </c>
      <c r="K83" s="2">
        <f t="shared" si="2"/>
        <v>45993.351400462961</v>
      </c>
      <c r="S83" s="4">
        <f t="shared" ca="1" si="3"/>
        <v>122.64859953703854</v>
      </c>
    </row>
    <row r="84" spans="1:19" hidden="1" x14ac:dyDescent="0.35">
      <c r="A84">
        <v>73</v>
      </c>
      <c r="B84" t="s">
        <v>156</v>
      </c>
      <c r="C84" t="s">
        <v>157</v>
      </c>
      <c r="D84" t="s">
        <v>19</v>
      </c>
      <c r="E84" t="s">
        <v>20</v>
      </c>
      <c r="F84" t="s">
        <v>158</v>
      </c>
      <c r="G84" s="2">
        <v>45991.581261574072</v>
      </c>
      <c r="I84" t="s">
        <v>158</v>
      </c>
      <c r="J84" t="s">
        <v>49</v>
      </c>
      <c r="K84" s="2">
        <f t="shared" si="2"/>
        <v>45994.581261574072</v>
      </c>
      <c r="S84" s="4">
        <f t="shared" ca="1" si="3"/>
        <v>121.41873842592759</v>
      </c>
    </row>
    <row r="85" spans="1:19" hidden="1" x14ac:dyDescent="0.35">
      <c r="A85">
        <v>74</v>
      </c>
      <c r="B85" t="s">
        <v>41</v>
      </c>
      <c r="C85" t="s">
        <v>159</v>
      </c>
      <c r="D85" t="s">
        <v>27</v>
      </c>
      <c r="E85" t="s">
        <v>20</v>
      </c>
      <c r="F85" t="s">
        <v>24</v>
      </c>
      <c r="G85" s="2">
        <v>45994.834641203706</v>
      </c>
      <c r="H85" s="2">
        <v>45994.920138888891</v>
      </c>
      <c r="I85" t="s">
        <v>24</v>
      </c>
      <c r="J85" t="s">
        <v>25</v>
      </c>
      <c r="K85" s="2">
        <f t="shared" si="2"/>
        <v>45997.834641203706</v>
      </c>
      <c r="S85" s="4">
        <f t="shared" ca="1" si="3"/>
        <v>118.16535879629373</v>
      </c>
    </row>
    <row r="86" spans="1:19" hidden="1" x14ac:dyDescent="0.35">
      <c r="A86">
        <v>75</v>
      </c>
      <c r="B86" t="s">
        <v>41</v>
      </c>
      <c r="C86" t="s">
        <v>159</v>
      </c>
      <c r="D86" t="s">
        <v>27</v>
      </c>
      <c r="E86" t="s">
        <v>20</v>
      </c>
      <c r="F86" t="s">
        <v>24</v>
      </c>
      <c r="G86" s="2">
        <v>45994.834664351853</v>
      </c>
      <c r="H86" s="2">
        <v>45994.920138888891</v>
      </c>
      <c r="I86" t="s">
        <v>24</v>
      </c>
      <c r="J86" t="s">
        <v>25</v>
      </c>
      <c r="K86" s="2">
        <f t="shared" si="2"/>
        <v>45997.834664351853</v>
      </c>
      <c r="S86" s="4">
        <f t="shared" ca="1" si="3"/>
        <v>118.16533564814745</v>
      </c>
    </row>
    <row r="87" spans="1:19" hidden="1" x14ac:dyDescent="0.35">
      <c r="A87">
        <v>76</v>
      </c>
      <c r="B87" t="s">
        <v>160</v>
      </c>
      <c r="D87" t="s">
        <v>19</v>
      </c>
      <c r="E87" t="s">
        <v>20</v>
      </c>
      <c r="F87" t="s">
        <v>24</v>
      </c>
      <c r="G87" s="2">
        <v>45999.913229166668</v>
      </c>
      <c r="H87" s="2">
        <v>45999.956944444442</v>
      </c>
      <c r="I87" t="s">
        <v>24</v>
      </c>
      <c r="J87" t="s">
        <v>25</v>
      </c>
      <c r="K87" s="2">
        <f>G87+6</f>
        <v>46005.913229166668</v>
      </c>
      <c r="S87" s="4">
        <f t="shared" ca="1" si="3"/>
        <v>113.08677083333168</v>
      </c>
    </row>
    <row r="88" spans="1:19" hidden="1" x14ac:dyDescent="0.35">
      <c r="A88">
        <v>77</v>
      </c>
      <c r="B88" t="s">
        <v>161</v>
      </c>
      <c r="C88" t="s">
        <v>162</v>
      </c>
      <c r="D88" t="s">
        <v>19</v>
      </c>
      <c r="E88" t="s">
        <v>20</v>
      </c>
      <c r="F88" t="s">
        <v>100</v>
      </c>
      <c r="G88" s="2">
        <v>46000.352303240739</v>
      </c>
      <c r="H88" s="2">
        <v>46000.602083333331</v>
      </c>
      <c r="I88" t="s">
        <v>100</v>
      </c>
      <c r="K88" s="2">
        <f>G88+6</f>
        <v>46006.352303240739</v>
      </c>
      <c r="S88" s="4">
        <f t="shared" ca="1" si="3"/>
        <v>112.64769675926073</v>
      </c>
    </row>
    <row r="89" spans="1:19" hidden="1" x14ac:dyDescent="0.35">
      <c r="A89">
        <v>78</v>
      </c>
      <c r="B89" t="s">
        <v>163</v>
      </c>
      <c r="C89" t="s">
        <v>164</v>
      </c>
      <c r="D89" t="s">
        <v>19</v>
      </c>
      <c r="E89" t="s">
        <v>20</v>
      </c>
      <c r="F89" t="s">
        <v>100</v>
      </c>
      <c r="G89" s="2">
        <v>46000.35292824074</v>
      </c>
      <c r="H89" s="2">
        <v>46027.498611111114</v>
      </c>
      <c r="I89" t="s">
        <v>100</v>
      </c>
      <c r="K89" s="2">
        <f t="shared" ref="K89:K109" si="4">G89+6</f>
        <v>46006.35292824074</v>
      </c>
      <c r="S89" s="4">
        <f t="shared" ca="1" si="3"/>
        <v>112.64707175926014</v>
      </c>
    </row>
    <row r="90" spans="1:19" hidden="1" x14ac:dyDescent="0.35">
      <c r="A90">
        <v>79</v>
      </c>
      <c r="B90" t="s">
        <v>165</v>
      </c>
      <c r="C90" t="s">
        <v>166</v>
      </c>
      <c r="D90" t="s">
        <v>19</v>
      </c>
      <c r="E90" t="s">
        <v>167</v>
      </c>
      <c r="F90" t="s">
        <v>100</v>
      </c>
      <c r="G90" s="2">
        <v>46000.353564814817</v>
      </c>
      <c r="H90" s="2">
        <v>46038.540277777778</v>
      </c>
      <c r="I90" t="s">
        <v>100</v>
      </c>
      <c r="K90" s="2">
        <f t="shared" si="4"/>
        <v>46006.353564814817</v>
      </c>
      <c r="L90" s="2">
        <v>46021.614988425928</v>
      </c>
      <c r="M90" t="s">
        <v>100</v>
      </c>
      <c r="N90" t="s">
        <v>168</v>
      </c>
      <c r="O90" t="s">
        <v>169</v>
      </c>
      <c r="P90" t="s">
        <v>170</v>
      </c>
      <c r="S90" s="4">
        <f t="shared" ca="1" si="3"/>
        <v>112.64643518518278</v>
      </c>
    </row>
    <row r="91" spans="1:19" hidden="1" x14ac:dyDescent="0.35">
      <c r="A91">
        <v>79</v>
      </c>
      <c r="B91" t="s">
        <v>165</v>
      </c>
      <c r="C91" t="s">
        <v>166</v>
      </c>
      <c r="D91" t="s">
        <v>19</v>
      </c>
      <c r="E91" t="s">
        <v>167</v>
      </c>
      <c r="F91" t="s">
        <v>100</v>
      </c>
      <c r="G91" s="2">
        <v>46000.353564814817</v>
      </c>
      <c r="H91" s="2">
        <v>46038.540277777778</v>
      </c>
      <c r="I91" t="s">
        <v>100</v>
      </c>
      <c r="K91" s="2">
        <f t="shared" si="4"/>
        <v>46006.353564814817</v>
      </c>
      <c r="L91" s="2">
        <v>46027.428819444445</v>
      </c>
      <c r="M91" t="s">
        <v>100</v>
      </c>
      <c r="N91" t="s">
        <v>171</v>
      </c>
      <c r="O91" t="s">
        <v>171</v>
      </c>
      <c r="P91" t="s">
        <v>170</v>
      </c>
      <c r="Q91" t="s">
        <v>172</v>
      </c>
      <c r="R91" t="s">
        <v>173</v>
      </c>
      <c r="S91" s="4">
        <f t="shared" ca="1" si="3"/>
        <v>112.64643518518278</v>
      </c>
    </row>
    <row r="92" spans="1:19" hidden="1" x14ac:dyDescent="0.35">
      <c r="A92">
        <v>79</v>
      </c>
      <c r="B92" t="s">
        <v>165</v>
      </c>
      <c r="C92" t="s">
        <v>166</v>
      </c>
      <c r="D92" t="s">
        <v>19</v>
      </c>
      <c r="E92" t="s">
        <v>167</v>
      </c>
      <c r="F92" t="s">
        <v>100</v>
      </c>
      <c r="G92" s="2">
        <v>46000.353564814817</v>
      </c>
      <c r="H92" s="2">
        <v>46038.540277777778</v>
      </c>
      <c r="I92" t="s">
        <v>100</v>
      </c>
      <c r="K92" s="2">
        <f t="shared" si="4"/>
        <v>46006.353564814817</v>
      </c>
      <c r="L92" s="2">
        <v>46030.496319444443</v>
      </c>
      <c r="M92" t="s">
        <v>100</v>
      </c>
      <c r="N92" t="s">
        <v>174</v>
      </c>
      <c r="O92" t="s">
        <v>174</v>
      </c>
      <c r="P92" t="s">
        <v>170</v>
      </c>
      <c r="Q92" t="s">
        <v>175</v>
      </c>
      <c r="R92" t="s">
        <v>176</v>
      </c>
      <c r="S92" s="4">
        <f t="shared" ca="1" si="3"/>
        <v>112.64643518518278</v>
      </c>
    </row>
    <row r="93" spans="1:19" hidden="1" x14ac:dyDescent="0.35">
      <c r="A93">
        <v>79</v>
      </c>
      <c r="B93" t="s">
        <v>165</v>
      </c>
      <c r="C93" t="s">
        <v>166</v>
      </c>
      <c r="D93" t="s">
        <v>19</v>
      </c>
      <c r="E93" t="s">
        <v>167</v>
      </c>
      <c r="F93" t="s">
        <v>100</v>
      </c>
      <c r="G93" s="2">
        <v>46000.353564814817</v>
      </c>
      <c r="H93" s="2">
        <v>46038.540277777778</v>
      </c>
      <c r="I93" t="s">
        <v>100</v>
      </c>
      <c r="K93" s="2">
        <f t="shared" si="4"/>
        <v>46006.353564814817</v>
      </c>
      <c r="L93" s="2">
        <v>46031.413888888892</v>
      </c>
      <c r="M93" t="s">
        <v>100</v>
      </c>
      <c r="N93" t="s">
        <v>177</v>
      </c>
      <c r="O93" t="s">
        <v>177</v>
      </c>
      <c r="P93" t="s">
        <v>170</v>
      </c>
      <c r="Q93" t="s">
        <v>178</v>
      </c>
      <c r="R93" t="s">
        <v>179</v>
      </c>
      <c r="S93" s="4">
        <f t="shared" ca="1" si="3"/>
        <v>112.64643518518278</v>
      </c>
    </row>
    <row r="94" spans="1:19" hidden="1" x14ac:dyDescent="0.35">
      <c r="A94">
        <v>79</v>
      </c>
      <c r="B94" t="s">
        <v>165</v>
      </c>
      <c r="C94" t="s">
        <v>166</v>
      </c>
      <c r="D94" t="s">
        <v>19</v>
      </c>
      <c r="E94" t="s">
        <v>167</v>
      </c>
      <c r="F94" t="s">
        <v>100</v>
      </c>
      <c r="G94" s="2">
        <v>46000.353564814817</v>
      </c>
      <c r="H94" s="2">
        <v>46038.540277777778</v>
      </c>
      <c r="I94" t="s">
        <v>100</v>
      </c>
      <c r="K94" s="2">
        <f t="shared" si="4"/>
        <v>46006.353564814817</v>
      </c>
      <c r="L94" s="2">
        <v>46033.862395833334</v>
      </c>
      <c r="M94" t="s">
        <v>100</v>
      </c>
      <c r="N94" t="s">
        <v>180</v>
      </c>
      <c r="O94" t="s">
        <v>181</v>
      </c>
      <c r="P94" t="s">
        <v>170</v>
      </c>
      <c r="Q94" t="s">
        <v>172</v>
      </c>
      <c r="R94" t="s">
        <v>182</v>
      </c>
      <c r="S94" s="4">
        <f t="shared" ca="1" si="3"/>
        <v>112.64643518518278</v>
      </c>
    </row>
    <row r="95" spans="1:19" hidden="1" x14ac:dyDescent="0.35">
      <c r="A95">
        <v>79</v>
      </c>
      <c r="B95" t="s">
        <v>165</v>
      </c>
      <c r="C95" t="s">
        <v>166</v>
      </c>
      <c r="D95" t="s">
        <v>19</v>
      </c>
      <c r="E95" t="s">
        <v>167</v>
      </c>
      <c r="F95" t="s">
        <v>100</v>
      </c>
      <c r="G95" s="2">
        <v>46000.353564814817</v>
      </c>
      <c r="H95" s="2">
        <v>46038.540277777778</v>
      </c>
      <c r="I95" t="s">
        <v>100</v>
      </c>
      <c r="K95" s="2">
        <f t="shared" si="4"/>
        <v>46006.353564814817</v>
      </c>
      <c r="L95" s="2">
        <v>46034.91609953704</v>
      </c>
      <c r="M95" t="s">
        <v>100</v>
      </c>
      <c r="N95" t="s">
        <v>183</v>
      </c>
      <c r="O95" t="s">
        <v>184</v>
      </c>
      <c r="P95" t="s">
        <v>106</v>
      </c>
      <c r="Q95" t="s">
        <v>45</v>
      </c>
      <c r="R95" t="s">
        <v>185</v>
      </c>
      <c r="S95" s="4">
        <f t="shared" ca="1" si="3"/>
        <v>112.64643518518278</v>
      </c>
    </row>
    <row r="96" spans="1:19" hidden="1" x14ac:dyDescent="0.35">
      <c r="A96">
        <v>79</v>
      </c>
      <c r="B96" t="s">
        <v>165</v>
      </c>
      <c r="C96" t="s">
        <v>166</v>
      </c>
      <c r="D96" t="s">
        <v>19</v>
      </c>
      <c r="E96" t="s">
        <v>167</v>
      </c>
      <c r="F96" t="s">
        <v>100</v>
      </c>
      <c r="G96" s="2">
        <v>46000.353564814817</v>
      </c>
      <c r="H96" s="2">
        <v>46038.540277777778</v>
      </c>
      <c r="I96" t="s">
        <v>100</v>
      </c>
      <c r="K96" s="2">
        <f t="shared" si="4"/>
        <v>46006.353564814817</v>
      </c>
      <c r="L96" s="2">
        <v>46034.916620370372</v>
      </c>
      <c r="M96" t="s">
        <v>100</v>
      </c>
      <c r="N96" t="s">
        <v>186</v>
      </c>
      <c r="O96" t="s">
        <v>187</v>
      </c>
      <c r="P96" t="s">
        <v>106</v>
      </c>
      <c r="Q96" t="s">
        <v>45</v>
      </c>
      <c r="R96" t="s">
        <v>188</v>
      </c>
      <c r="S96" s="4">
        <f t="shared" ca="1" si="3"/>
        <v>112.64643518518278</v>
      </c>
    </row>
    <row r="97" spans="1:19" hidden="1" x14ac:dyDescent="0.35">
      <c r="A97">
        <v>79</v>
      </c>
      <c r="B97" t="s">
        <v>165</v>
      </c>
      <c r="C97" t="s">
        <v>166</v>
      </c>
      <c r="D97" t="s">
        <v>19</v>
      </c>
      <c r="E97" t="s">
        <v>167</v>
      </c>
      <c r="F97" t="s">
        <v>100</v>
      </c>
      <c r="G97" s="2">
        <v>46000.353564814817</v>
      </c>
      <c r="H97" s="2">
        <v>46038.540277777778</v>
      </c>
      <c r="I97" t="s">
        <v>100</v>
      </c>
      <c r="K97" s="2">
        <f t="shared" si="4"/>
        <v>46006.353564814817</v>
      </c>
      <c r="L97" s="2">
        <v>46034.917847222219</v>
      </c>
      <c r="M97" t="s">
        <v>100</v>
      </c>
      <c r="N97" t="s">
        <v>189</v>
      </c>
      <c r="O97" t="s">
        <v>190</v>
      </c>
      <c r="P97" t="s">
        <v>106</v>
      </c>
      <c r="Q97" t="s">
        <v>45</v>
      </c>
      <c r="R97" t="s">
        <v>191</v>
      </c>
      <c r="S97" s="4">
        <f t="shared" ca="1" si="3"/>
        <v>112.64643518518278</v>
      </c>
    </row>
    <row r="98" spans="1:19" hidden="1" x14ac:dyDescent="0.35">
      <c r="A98">
        <v>80</v>
      </c>
      <c r="B98" t="s">
        <v>192</v>
      </c>
      <c r="C98" t="s">
        <v>193</v>
      </c>
      <c r="D98" t="s">
        <v>19</v>
      </c>
      <c r="E98" t="s">
        <v>20</v>
      </c>
      <c r="F98" t="s">
        <v>100</v>
      </c>
      <c r="G98" s="2">
        <v>46000.375578703701</v>
      </c>
      <c r="H98" s="2">
        <v>46062.929166666669</v>
      </c>
      <c r="I98" t="s">
        <v>100</v>
      </c>
      <c r="K98" s="2">
        <f t="shared" si="4"/>
        <v>46006.375578703701</v>
      </c>
      <c r="S98" s="4">
        <f t="shared" ca="1" si="3"/>
        <v>112.62442129629926</v>
      </c>
    </row>
    <row r="99" spans="1:19" hidden="1" x14ac:dyDescent="0.35">
      <c r="A99">
        <v>82</v>
      </c>
      <c r="B99" t="s">
        <v>22</v>
      </c>
      <c r="D99" t="s">
        <v>19</v>
      </c>
      <c r="E99" t="s">
        <v>20</v>
      </c>
      <c r="F99" t="s">
        <v>24</v>
      </c>
      <c r="G99" s="2">
        <v>46005.27071759259</v>
      </c>
      <c r="H99" s="2">
        <v>46005.356249999997</v>
      </c>
      <c r="I99" t="s">
        <v>24</v>
      </c>
      <c r="J99" t="s">
        <v>25</v>
      </c>
      <c r="K99" s="2">
        <f t="shared" si="4"/>
        <v>46011.27071759259</v>
      </c>
      <c r="S99" s="4">
        <f t="shared" ca="1" si="3"/>
        <v>107.72928240741021</v>
      </c>
    </row>
    <row r="100" spans="1:19" hidden="1" x14ac:dyDescent="0.35">
      <c r="A100">
        <v>83</v>
      </c>
      <c r="B100" t="s">
        <v>57</v>
      </c>
      <c r="C100" t="s">
        <v>194</v>
      </c>
      <c r="D100" t="s">
        <v>19</v>
      </c>
      <c r="E100" t="s">
        <v>20</v>
      </c>
      <c r="F100" t="s">
        <v>24</v>
      </c>
      <c r="G100" s="2">
        <v>46008.883599537039</v>
      </c>
      <c r="H100" s="2">
        <v>46008.885416666664</v>
      </c>
      <c r="I100" t="s">
        <v>24</v>
      </c>
      <c r="J100" t="s">
        <v>25</v>
      </c>
      <c r="K100" s="2">
        <f t="shared" si="4"/>
        <v>46014.883599537039</v>
      </c>
      <c r="S100" s="4">
        <f t="shared" ca="1" si="3"/>
        <v>104.11640046296088</v>
      </c>
    </row>
    <row r="101" spans="1:19" hidden="1" x14ac:dyDescent="0.35">
      <c r="A101">
        <v>84</v>
      </c>
      <c r="B101" t="s">
        <v>195</v>
      </c>
      <c r="C101" t="s">
        <v>196</v>
      </c>
      <c r="D101" t="s">
        <v>19</v>
      </c>
      <c r="E101" t="s">
        <v>197</v>
      </c>
      <c r="F101" t="s">
        <v>100</v>
      </c>
      <c r="G101" s="2">
        <v>46021.350775462961</v>
      </c>
      <c r="H101" s="2">
        <v>46038.493055555555</v>
      </c>
      <c r="I101" t="s">
        <v>100</v>
      </c>
      <c r="K101" s="2">
        <f t="shared" si="4"/>
        <v>46027.350775462961</v>
      </c>
      <c r="L101" s="2">
        <v>46021.604884259257</v>
      </c>
      <c r="M101" t="s">
        <v>100</v>
      </c>
      <c r="N101" t="s">
        <v>198</v>
      </c>
      <c r="O101" t="s">
        <v>199</v>
      </c>
      <c r="P101" t="s">
        <v>170</v>
      </c>
      <c r="S101" s="4">
        <f t="shared" ca="1" si="3"/>
        <v>91.649224537039117</v>
      </c>
    </row>
    <row r="102" spans="1:19" hidden="1" x14ac:dyDescent="0.35">
      <c r="A102">
        <v>84</v>
      </c>
      <c r="B102" t="s">
        <v>195</v>
      </c>
      <c r="C102" t="s">
        <v>196</v>
      </c>
      <c r="D102" t="s">
        <v>19</v>
      </c>
      <c r="E102" t="s">
        <v>197</v>
      </c>
      <c r="F102" t="s">
        <v>100</v>
      </c>
      <c r="G102" s="2">
        <v>46021.350775462961</v>
      </c>
      <c r="H102" s="2">
        <v>46038.493055555555</v>
      </c>
      <c r="I102" t="s">
        <v>100</v>
      </c>
      <c r="K102" s="2">
        <f t="shared" si="4"/>
        <v>46027.350775462961</v>
      </c>
      <c r="L102" s="2">
        <v>46021.605138888888</v>
      </c>
      <c r="M102" t="s">
        <v>100</v>
      </c>
      <c r="N102" t="s">
        <v>200</v>
      </c>
      <c r="O102" t="s">
        <v>201</v>
      </c>
      <c r="P102" t="s">
        <v>170</v>
      </c>
      <c r="S102" s="4">
        <f t="shared" ca="1" si="3"/>
        <v>91.649224537039117</v>
      </c>
    </row>
    <row r="103" spans="1:19" hidden="1" x14ac:dyDescent="0.35">
      <c r="A103">
        <v>84</v>
      </c>
      <c r="B103" t="s">
        <v>195</v>
      </c>
      <c r="C103" t="s">
        <v>196</v>
      </c>
      <c r="D103" t="s">
        <v>19</v>
      </c>
      <c r="E103" t="s">
        <v>197</v>
      </c>
      <c r="F103" t="s">
        <v>100</v>
      </c>
      <c r="G103" s="2">
        <v>46021.350775462961</v>
      </c>
      <c r="H103" s="2">
        <v>46038.493055555555</v>
      </c>
      <c r="I103" t="s">
        <v>100</v>
      </c>
      <c r="K103" s="2">
        <f t="shared" si="4"/>
        <v>46027.350775462961</v>
      </c>
      <c r="L103" s="2">
        <v>46021.605995370373</v>
      </c>
      <c r="M103" t="s">
        <v>100</v>
      </c>
      <c r="N103" t="s">
        <v>202</v>
      </c>
      <c r="O103" t="s">
        <v>203</v>
      </c>
      <c r="P103" t="s">
        <v>170</v>
      </c>
      <c r="S103" s="4">
        <f t="shared" ca="1" si="3"/>
        <v>91.649224537039117</v>
      </c>
    </row>
    <row r="104" spans="1:19" hidden="1" x14ac:dyDescent="0.35">
      <c r="A104">
        <v>84</v>
      </c>
      <c r="B104" t="s">
        <v>195</v>
      </c>
      <c r="C104" t="s">
        <v>196</v>
      </c>
      <c r="D104" t="s">
        <v>19</v>
      </c>
      <c r="E104" t="s">
        <v>197</v>
      </c>
      <c r="F104" t="s">
        <v>100</v>
      </c>
      <c r="G104" s="2">
        <v>46021.350775462961</v>
      </c>
      <c r="H104" s="2">
        <v>46038.493055555555</v>
      </c>
      <c r="I104" t="s">
        <v>100</v>
      </c>
      <c r="K104" s="2">
        <f t="shared" si="4"/>
        <v>46027.350775462961</v>
      </c>
      <c r="L104" s="2">
        <v>46030.490601851852</v>
      </c>
      <c r="M104" t="s">
        <v>100</v>
      </c>
      <c r="N104" t="s">
        <v>204</v>
      </c>
      <c r="O104" t="s">
        <v>204</v>
      </c>
      <c r="P104" t="s">
        <v>170</v>
      </c>
      <c r="Q104" t="s">
        <v>205</v>
      </c>
      <c r="R104" t="s">
        <v>206</v>
      </c>
      <c r="S104" s="4">
        <f t="shared" ca="1" si="3"/>
        <v>91.649224537039117</v>
      </c>
    </row>
    <row r="105" spans="1:19" hidden="1" x14ac:dyDescent="0.35">
      <c r="A105">
        <v>84</v>
      </c>
      <c r="B105" t="s">
        <v>195</v>
      </c>
      <c r="C105" t="s">
        <v>196</v>
      </c>
      <c r="D105" t="s">
        <v>19</v>
      </c>
      <c r="E105" t="s">
        <v>197</v>
      </c>
      <c r="F105" t="s">
        <v>100</v>
      </c>
      <c r="G105" s="2">
        <v>46021.350775462961</v>
      </c>
      <c r="H105" s="2">
        <v>46038.493055555555</v>
      </c>
      <c r="I105" t="s">
        <v>100</v>
      </c>
      <c r="K105" s="2">
        <f t="shared" si="4"/>
        <v>46027.350775462961</v>
      </c>
      <c r="L105" s="2">
        <v>46031.365416666667</v>
      </c>
      <c r="M105" t="s">
        <v>100</v>
      </c>
      <c r="N105" t="s">
        <v>207</v>
      </c>
      <c r="O105" t="s">
        <v>207</v>
      </c>
      <c r="P105" t="s">
        <v>106</v>
      </c>
      <c r="Q105" t="s">
        <v>205</v>
      </c>
      <c r="R105" t="s">
        <v>208</v>
      </c>
      <c r="S105" s="4">
        <f t="shared" ca="1" si="3"/>
        <v>91.649224537039117</v>
      </c>
    </row>
    <row r="106" spans="1:19" hidden="1" x14ac:dyDescent="0.35">
      <c r="A106">
        <v>85</v>
      </c>
      <c r="B106" t="s">
        <v>209</v>
      </c>
      <c r="C106" t="s">
        <v>209</v>
      </c>
      <c r="D106" t="s">
        <v>19</v>
      </c>
      <c r="E106" t="s">
        <v>20</v>
      </c>
      <c r="F106" t="s">
        <v>100</v>
      </c>
      <c r="G106" s="2">
        <v>46021.353958333333</v>
      </c>
      <c r="H106" s="2">
        <v>46020.497916666667</v>
      </c>
      <c r="I106" t="s">
        <v>100</v>
      </c>
      <c r="K106" s="2">
        <f t="shared" si="4"/>
        <v>46027.353958333333</v>
      </c>
      <c r="S106" s="4">
        <f t="shared" ca="1" si="3"/>
        <v>91.646041666666861</v>
      </c>
    </row>
    <row r="107" spans="1:19" hidden="1" x14ac:dyDescent="0.35">
      <c r="A107">
        <v>86</v>
      </c>
      <c r="B107" t="s">
        <v>210</v>
      </c>
      <c r="C107" t="s">
        <v>210</v>
      </c>
      <c r="D107" t="s">
        <v>19</v>
      </c>
      <c r="E107" t="s">
        <v>20</v>
      </c>
      <c r="F107" t="s">
        <v>100</v>
      </c>
      <c r="G107" s="2">
        <v>46021.355775462966</v>
      </c>
      <c r="H107" s="2">
        <v>46037.893750000003</v>
      </c>
      <c r="I107" t="s">
        <v>100</v>
      </c>
      <c r="K107" s="2">
        <f t="shared" si="4"/>
        <v>46027.355775462966</v>
      </c>
      <c r="L107" s="2">
        <v>46033.893773148149</v>
      </c>
      <c r="M107" t="s">
        <v>100</v>
      </c>
      <c r="N107" t="s">
        <v>211</v>
      </c>
      <c r="O107" t="s">
        <v>212</v>
      </c>
      <c r="P107" t="s">
        <v>106</v>
      </c>
      <c r="Q107" t="s">
        <v>213</v>
      </c>
      <c r="R107" t="s">
        <v>214</v>
      </c>
      <c r="S107" s="4">
        <f t="shared" ca="1" si="3"/>
        <v>91.644224537034461</v>
      </c>
    </row>
    <row r="108" spans="1:19" hidden="1" x14ac:dyDescent="0.35">
      <c r="A108">
        <v>87</v>
      </c>
      <c r="B108" t="s">
        <v>215</v>
      </c>
      <c r="C108" t="s">
        <v>216</v>
      </c>
      <c r="D108" t="s">
        <v>19</v>
      </c>
      <c r="E108" t="s">
        <v>20</v>
      </c>
      <c r="F108" t="s">
        <v>100</v>
      </c>
      <c r="G108" s="2">
        <v>46021.356307870374</v>
      </c>
      <c r="H108" s="2">
        <v>46027.49722222222</v>
      </c>
      <c r="I108" t="s">
        <v>100</v>
      </c>
      <c r="K108" s="2">
        <f t="shared" si="4"/>
        <v>46027.356307870374</v>
      </c>
      <c r="S108" s="4">
        <f t="shared" ca="1" si="3"/>
        <v>91.643692129626288</v>
      </c>
    </row>
    <row r="109" spans="1:19" hidden="1" x14ac:dyDescent="0.35">
      <c r="A109">
        <v>88</v>
      </c>
      <c r="B109" t="s">
        <v>217</v>
      </c>
      <c r="C109" t="s">
        <v>217</v>
      </c>
      <c r="D109" t="s">
        <v>218</v>
      </c>
      <c r="E109" t="s">
        <v>219</v>
      </c>
      <c r="F109" t="s">
        <v>100</v>
      </c>
      <c r="G109" s="2">
        <v>46021.357453703706</v>
      </c>
      <c r="H109" s="2">
        <v>45992.574999999997</v>
      </c>
      <c r="I109" t="s">
        <v>100</v>
      </c>
      <c r="J109" t="s">
        <v>30</v>
      </c>
      <c r="K109" s="2">
        <f t="shared" si="4"/>
        <v>46027.357453703706</v>
      </c>
      <c r="S109" s="4">
        <f t="shared" ca="1" si="3"/>
        <v>91.642546296294313</v>
      </c>
    </row>
    <row r="110" spans="1:19" hidden="1" x14ac:dyDescent="0.35">
      <c r="A110">
        <v>89</v>
      </c>
      <c r="B110" t="s">
        <v>220</v>
      </c>
      <c r="C110" t="s">
        <v>221</v>
      </c>
      <c r="D110" t="s">
        <v>19</v>
      </c>
      <c r="E110" t="s">
        <v>20</v>
      </c>
      <c r="F110" t="s">
        <v>100</v>
      </c>
      <c r="G110" s="2">
        <v>46021.358194444445</v>
      </c>
      <c r="H110" s="2">
        <v>46030.890972222223</v>
      </c>
      <c r="I110" t="s">
        <v>100</v>
      </c>
      <c r="K110" s="2">
        <f>G110+8</f>
        <v>46029.358194444445</v>
      </c>
      <c r="L110" s="2">
        <v>46033.891157407408</v>
      </c>
      <c r="M110" t="s">
        <v>100</v>
      </c>
      <c r="N110" t="s">
        <v>222</v>
      </c>
      <c r="O110" t="s">
        <v>222</v>
      </c>
      <c r="P110" t="s">
        <v>170</v>
      </c>
      <c r="Q110" t="s">
        <v>100</v>
      </c>
      <c r="R110" t="s">
        <v>223</v>
      </c>
      <c r="S110" s="4">
        <f t="shared" ca="1" si="3"/>
        <v>91.641805555555038</v>
      </c>
    </row>
    <row r="111" spans="1:19" hidden="1" x14ac:dyDescent="0.35">
      <c r="A111">
        <v>90</v>
      </c>
      <c r="B111" t="s">
        <v>224</v>
      </c>
      <c r="C111" t="s">
        <v>225</v>
      </c>
      <c r="D111" t="s">
        <v>19</v>
      </c>
      <c r="E111" t="s">
        <v>197</v>
      </c>
      <c r="F111" t="s">
        <v>100</v>
      </c>
      <c r="G111" s="2">
        <v>46021.625833333332</v>
      </c>
      <c r="H111" s="2">
        <v>46031.859027777777</v>
      </c>
      <c r="I111" t="s">
        <v>100</v>
      </c>
      <c r="K111" s="2">
        <f t="shared" ref="K111:K142" si="5">G111+8</f>
        <v>46029.625833333332</v>
      </c>
      <c r="L111" s="2">
        <v>46021.628009259257</v>
      </c>
      <c r="M111" t="s">
        <v>100</v>
      </c>
      <c r="N111" t="s">
        <v>226</v>
      </c>
      <c r="O111" t="s">
        <v>227</v>
      </c>
      <c r="P111" t="s">
        <v>170</v>
      </c>
      <c r="S111" s="4">
        <f t="shared" ca="1" si="3"/>
        <v>91.374166666668316</v>
      </c>
    </row>
    <row r="112" spans="1:19" hidden="1" x14ac:dyDescent="0.35">
      <c r="A112">
        <v>90</v>
      </c>
      <c r="B112" t="s">
        <v>224</v>
      </c>
      <c r="C112" t="s">
        <v>225</v>
      </c>
      <c r="D112" t="s">
        <v>19</v>
      </c>
      <c r="E112" t="s">
        <v>197</v>
      </c>
      <c r="F112" t="s">
        <v>100</v>
      </c>
      <c r="G112" s="2">
        <v>46021.625833333332</v>
      </c>
      <c r="H112" s="2">
        <v>46031.859027777777</v>
      </c>
      <c r="I112" t="s">
        <v>100</v>
      </c>
      <c r="K112" s="2">
        <f t="shared" si="5"/>
        <v>46029.625833333332</v>
      </c>
      <c r="L112" s="2">
        <v>46030.367326388892</v>
      </c>
      <c r="M112" t="s">
        <v>100</v>
      </c>
      <c r="N112" t="s">
        <v>228</v>
      </c>
      <c r="O112" t="s">
        <v>229</v>
      </c>
      <c r="P112" t="s">
        <v>170</v>
      </c>
      <c r="Q112" t="s">
        <v>230</v>
      </c>
      <c r="R112" t="s">
        <v>231</v>
      </c>
      <c r="S112" s="4">
        <f t="shared" ca="1" si="3"/>
        <v>91.374166666668316</v>
      </c>
    </row>
    <row r="113" spans="1:19" hidden="1" x14ac:dyDescent="0.35">
      <c r="A113">
        <v>90</v>
      </c>
      <c r="B113" t="s">
        <v>224</v>
      </c>
      <c r="C113" t="s">
        <v>225</v>
      </c>
      <c r="D113" t="s">
        <v>19</v>
      </c>
      <c r="E113" t="s">
        <v>197</v>
      </c>
      <c r="F113" t="s">
        <v>100</v>
      </c>
      <c r="G113" s="2">
        <v>46021.625833333332</v>
      </c>
      <c r="H113" s="2">
        <v>46031.859027777777</v>
      </c>
      <c r="I113" t="s">
        <v>100</v>
      </c>
      <c r="K113" s="2">
        <f t="shared" si="5"/>
        <v>46029.625833333332</v>
      </c>
      <c r="L113" s="2">
        <v>46033.860405092593</v>
      </c>
      <c r="M113" t="s">
        <v>100</v>
      </c>
      <c r="N113" t="s">
        <v>232</v>
      </c>
      <c r="O113" t="s">
        <v>233</v>
      </c>
      <c r="P113" t="s">
        <v>170</v>
      </c>
      <c r="Q113" t="s">
        <v>100</v>
      </c>
      <c r="R113" t="s">
        <v>234</v>
      </c>
      <c r="S113" s="4">
        <f t="shared" ca="1" si="3"/>
        <v>91.374166666668316</v>
      </c>
    </row>
    <row r="114" spans="1:19" hidden="1" x14ac:dyDescent="0.35">
      <c r="A114">
        <v>91</v>
      </c>
      <c r="B114" t="s">
        <v>235</v>
      </c>
      <c r="C114" t="s">
        <v>236</v>
      </c>
      <c r="D114" t="s">
        <v>19</v>
      </c>
      <c r="E114" t="s">
        <v>167</v>
      </c>
      <c r="F114" t="s">
        <v>100</v>
      </c>
      <c r="G114" s="2">
        <v>46021.62877314815</v>
      </c>
      <c r="H114" s="2">
        <v>46027.618750000001</v>
      </c>
      <c r="I114" t="s">
        <v>100</v>
      </c>
      <c r="K114" s="2">
        <f t="shared" si="5"/>
        <v>46029.62877314815</v>
      </c>
      <c r="L114" s="2">
        <v>46021.629548611112</v>
      </c>
      <c r="M114" t="s">
        <v>100</v>
      </c>
      <c r="N114" t="s">
        <v>237</v>
      </c>
      <c r="O114" t="s">
        <v>238</v>
      </c>
      <c r="P114" t="s">
        <v>106</v>
      </c>
      <c r="S114" s="4">
        <f t="shared" ca="1" si="3"/>
        <v>91.371226851850224</v>
      </c>
    </row>
    <row r="115" spans="1:19" hidden="1" x14ac:dyDescent="0.35">
      <c r="A115">
        <v>91</v>
      </c>
      <c r="B115" t="s">
        <v>235</v>
      </c>
      <c r="C115" t="s">
        <v>236</v>
      </c>
      <c r="D115" t="s">
        <v>19</v>
      </c>
      <c r="E115" t="s">
        <v>167</v>
      </c>
      <c r="F115" t="s">
        <v>100</v>
      </c>
      <c r="G115" s="2">
        <v>46021.62877314815</v>
      </c>
      <c r="H115" s="2">
        <v>46027.618750000001</v>
      </c>
      <c r="I115" t="s">
        <v>100</v>
      </c>
      <c r="K115" s="2">
        <f t="shared" si="5"/>
        <v>46029.62877314815</v>
      </c>
      <c r="L115" s="2">
        <v>46031.408437500002</v>
      </c>
      <c r="M115" t="s">
        <v>100</v>
      </c>
      <c r="N115" t="s">
        <v>239</v>
      </c>
      <c r="O115" t="s">
        <v>239</v>
      </c>
      <c r="P115" t="s">
        <v>106</v>
      </c>
      <c r="Q115" t="s">
        <v>240</v>
      </c>
      <c r="R115" t="s">
        <v>241</v>
      </c>
      <c r="S115" s="4">
        <f t="shared" ca="1" si="3"/>
        <v>91.371226851850224</v>
      </c>
    </row>
    <row r="116" spans="1:19" hidden="1" x14ac:dyDescent="0.35">
      <c r="A116">
        <v>91</v>
      </c>
      <c r="B116" t="s">
        <v>235</v>
      </c>
      <c r="C116" t="s">
        <v>236</v>
      </c>
      <c r="D116" t="s">
        <v>19</v>
      </c>
      <c r="E116" t="s">
        <v>167</v>
      </c>
      <c r="F116" t="s">
        <v>100</v>
      </c>
      <c r="G116" s="2">
        <v>46021.62877314815</v>
      </c>
      <c r="H116" s="2">
        <v>46027.618750000001</v>
      </c>
      <c r="I116" t="s">
        <v>100</v>
      </c>
      <c r="K116" s="2">
        <f t="shared" si="5"/>
        <v>46029.62877314815</v>
      </c>
      <c r="L116" s="2">
        <v>46031.408761574072</v>
      </c>
      <c r="M116" t="s">
        <v>100</v>
      </c>
      <c r="N116" t="s">
        <v>239</v>
      </c>
      <c r="O116" t="s">
        <v>239</v>
      </c>
      <c r="P116" t="s">
        <v>106</v>
      </c>
      <c r="Q116" t="s">
        <v>175</v>
      </c>
      <c r="R116" t="s">
        <v>241</v>
      </c>
      <c r="S116" s="4">
        <f t="shared" ca="1" si="3"/>
        <v>91.371226851850224</v>
      </c>
    </row>
    <row r="117" spans="1:19" hidden="1" x14ac:dyDescent="0.35">
      <c r="A117">
        <v>91</v>
      </c>
      <c r="B117" t="s">
        <v>235</v>
      </c>
      <c r="C117" t="s">
        <v>236</v>
      </c>
      <c r="D117" t="s">
        <v>19</v>
      </c>
      <c r="E117" t="s">
        <v>167</v>
      </c>
      <c r="F117" t="s">
        <v>100</v>
      </c>
      <c r="G117" s="2">
        <v>46021.62877314815</v>
      </c>
      <c r="H117" s="2">
        <v>46027.618750000001</v>
      </c>
      <c r="I117" t="s">
        <v>100</v>
      </c>
      <c r="K117" s="2">
        <f t="shared" si="5"/>
        <v>46029.62877314815</v>
      </c>
      <c r="L117" s="2">
        <v>46031.520162037035</v>
      </c>
      <c r="M117" t="s">
        <v>100</v>
      </c>
      <c r="N117" t="s">
        <v>242</v>
      </c>
      <c r="O117" t="s">
        <v>243</v>
      </c>
      <c r="P117" t="s">
        <v>106</v>
      </c>
      <c r="Q117" t="s">
        <v>244</v>
      </c>
      <c r="R117" t="s">
        <v>245</v>
      </c>
      <c r="S117" s="4">
        <f t="shared" ca="1" si="3"/>
        <v>91.371226851850224</v>
      </c>
    </row>
    <row r="118" spans="1:19" hidden="1" x14ac:dyDescent="0.35">
      <c r="A118">
        <v>92</v>
      </c>
      <c r="B118" t="s">
        <v>246</v>
      </c>
      <c r="C118" t="s">
        <v>247</v>
      </c>
      <c r="D118" t="s">
        <v>19</v>
      </c>
      <c r="E118" t="s">
        <v>167</v>
      </c>
      <c r="F118" t="s">
        <v>100</v>
      </c>
      <c r="G118" s="2">
        <v>46021.630856481483</v>
      </c>
      <c r="H118" s="2">
        <v>46027.618750000001</v>
      </c>
      <c r="I118" t="s">
        <v>100</v>
      </c>
      <c r="K118" s="2">
        <f t="shared" si="5"/>
        <v>46029.630856481483</v>
      </c>
      <c r="L118" s="2">
        <v>46070.917731481481</v>
      </c>
      <c r="N118" t="s">
        <v>248</v>
      </c>
      <c r="O118" t="s">
        <v>248</v>
      </c>
      <c r="P118" t="s">
        <v>106</v>
      </c>
      <c r="Q118" t="s">
        <v>100</v>
      </c>
      <c r="R118" t="s">
        <v>249</v>
      </c>
      <c r="S118" s="4">
        <f t="shared" ca="1" si="3"/>
        <v>91.369143518517376</v>
      </c>
    </row>
    <row r="119" spans="1:19" hidden="1" x14ac:dyDescent="0.35">
      <c r="A119">
        <v>92</v>
      </c>
      <c r="B119" t="s">
        <v>246</v>
      </c>
      <c r="C119" t="s">
        <v>247</v>
      </c>
      <c r="D119" t="s">
        <v>19</v>
      </c>
      <c r="E119" t="s">
        <v>167</v>
      </c>
      <c r="F119" t="s">
        <v>100</v>
      </c>
      <c r="G119" s="2">
        <v>46021.630856481483</v>
      </c>
      <c r="H119" s="2">
        <v>46027.618750000001</v>
      </c>
      <c r="I119" t="s">
        <v>100</v>
      </c>
      <c r="K119" s="2">
        <f t="shared" si="5"/>
        <v>46029.630856481483</v>
      </c>
      <c r="L119" s="2">
        <v>46021.631215277775</v>
      </c>
      <c r="M119" t="s">
        <v>100</v>
      </c>
      <c r="N119" t="s">
        <v>237</v>
      </c>
      <c r="O119" t="s">
        <v>250</v>
      </c>
      <c r="P119" t="s">
        <v>106</v>
      </c>
      <c r="S119" s="4">
        <f t="shared" ca="1" si="3"/>
        <v>91.369143518517376</v>
      </c>
    </row>
    <row r="120" spans="1:19" hidden="1" x14ac:dyDescent="0.35">
      <c r="A120">
        <v>92</v>
      </c>
      <c r="B120" t="s">
        <v>246</v>
      </c>
      <c r="C120" t="s">
        <v>247</v>
      </c>
      <c r="D120" t="s">
        <v>19</v>
      </c>
      <c r="E120" t="s">
        <v>167</v>
      </c>
      <c r="F120" t="s">
        <v>100</v>
      </c>
      <c r="G120" s="2">
        <v>46021.630856481483</v>
      </c>
      <c r="H120" s="2">
        <v>46027.618750000001</v>
      </c>
      <c r="I120" t="s">
        <v>100</v>
      </c>
      <c r="K120" s="2">
        <f t="shared" si="5"/>
        <v>46029.630856481483</v>
      </c>
      <c r="L120" s="2">
        <v>46033.864247685182</v>
      </c>
      <c r="M120" t="s">
        <v>100</v>
      </c>
      <c r="N120" t="s">
        <v>251</v>
      </c>
      <c r="O120" t="s">
        <v>252</v>
      </c>
      <c r="P120" t="s">
        <v>106</v>
      </c>
      <c r="Q120" t="s">
        <v>100</v>
      </c>
      <c r="R120" t="s">
        <v>253</v>
      </c>
      <c r="S120" s="4">
        <f t="shared" ca="1" si="3"/>
        <v>91.369143518517376</v>
      </c>
    </row>
    <row r="121" spans="1:19" hidden="1" x14ac:dyDescent="0.35">
      <c r="A121">
        <v>92</v>
      </c>
      <c r="B121" t="s">
        <v>246</v>
      </c>
      <c r="C121" t="s">
        <v>247</v>
      </c>
      <c r="D121" t="s">
        <v>19</v>
      </c>
      <c r="E121" t="s">
        <v>167</v>
      </c>
      <c r="F121" t="s">
        <v>100</v>
      </c>
      <c r="G121" s="2">
        <v>46021.630856481483</v>
      </c>
      <c r="H121" s="2">
        <v>46027.618750000001</v>
      </c>
      <c r="I121" t="s">
        <v>100</v>
      </c>
      <c r="K121" s="2">
        <f t="shared" si="5"/>
        <v>46029.630856481483</v>
      </c>
      <c r="L121" s="2">
        <v>46043.435046296298</v>
      </c>
      <c r="M121" t="s">
        <v>100</v>
      </c>
      <c r="N121" t="s">
        <v>254</v>
      </c>
      <c r="O121" t="s">
        <v>255</v>
      </c>
      <c r="P121" t="s">
        <v>106</v>
      </c>
      <c r="Q121" t="s">
        <v>155</v>
      </c>
      <c r="R121" t="s">
        <v>256</v>
      </c>
      <c r="S121" s="4">
        <f t="shared" ca="1" si="3"/>
        <v>91.369143518517376</v>
      </c>
    </row>
    <row r="122" spans="1:19" hidden="1" x14ac:dyDescent="0.35">
      <c r="A122">
        <v>93</v>
      </c>
      <c r="B122" t="s">
        <v>257</v>
      </c>
      <c r="C122" t="s">
        <v>258</v>
      </c>
      <c r="D122" t="s">
        <v>19</v>
      </c>
      <c r="E122" t="s">
        <v>167</v>
      </c>
      <c r="F122" t="s">
        <v>100</v>
      </c>
      <c r="G122" s="2">
        <v>46021.634641203702</v>
      </c>
      <c r="H122" s="2">
        <v>46031.492361111108</v>
      </c>
      <c r="I122" t="s">
        <v>100</v>
      </c>
      <c r="K122" s="2">
        <f t="shared" si="5"/>
        <v>46029.634641203702</v>
      </c>
      <c r="L122" s="2">
        <v>46021.635162037041</v>
      </c>
      <c r="M122" t="s">
        <v>100</v>
      </c>
      <c r="N122" t="s">
        <v>259</v>
      </c>
      <c r="O122" t="s">
        <v>260</v>
      </c>
      <c r="P122" t="s">
        <v>170</v>
      </c>
      <c r="S122" s="4">
        <f t="shared" ca="1" si="3"/>
        <v>91.365358796298096</v>
      </c>
    </row>
    <row r="123" spans="1:19" hidden="1" x14ac:dyDescent="0.35">
      <c r="A123">
        <v>93</v>
      </c>
      <c r="B123" t="s">
        <v>257</v>
      </c>
      <c r="C123" t="s">
        <v>258</v>
      </c>
      <c r="D123" t="s">
        <v>19</v>
      </c>
      <c r="E123" t="s">
        <v>167</v>
      </c>
      <c r="F123" t="s">
        <v>100</v>
      </c>
      <c r="G123" s="2">
        <v>46021.634641203702</v>
      </c>
      <c r="H123" s="2">
        <v>46031.492361111108</v>
      </c>
      <c r="I123" t="s">
        <v>100</v>
      </c>
      <c r="K123" s="2">
        <f t="shared" si="5"/>
        <v>46029.634641203702</v>
      </c>
      <c r="L123" s="2">
        <v>46021.635509259257</v>
      </c>
      <c r="M123" t="s">
        <v>100</v>
      </c>
      <c r="N123" t="s">
        <v>261</v>
      </c>
      <c r="O123" t="s">
        <v>262</v>
      </c>
      <c r="P123" t="s">
        <v>170</v>
      </c>
      <c r="S123" s="4">
        <f t="shared" ca="1" si="3"/>
        <v>91.365358796298096</v>
      </c>
    </row>
    <row r="124" spans="1:19" hidden="1" x14ac:dyDescent="0.35">
      <c r="A124">
        <v>93</v>
      </c>
      <c r="B124" t="s">
        <v>257</v>
      </c>
      <c r="C124" t="s">
        <v>258</v>
      </c>
      <c r="D124" t="s">
        <v>19</v>
      </c>
      <c r="E124" t="s">
        <v>167</v>
      </c>
      <c r="F124" t="s">
        <v>100</v>
      </c>
      <c r="G124" s="2">
        <v>46021.634641203702</v>
      </c>
      <c r="H124" s="2">
        <v>46031.492361111108</v>
      </c>
      <c r="I124" t="s">
        <v>100</v>
      </c>
      <c r="K124" s="2">
        <f t="shared" si="5"/>
        <v>46029.634641203702</v>
      </c>
      <c r="L124" s="2">
        <v>46027.385682870372</v>
      </c>
      <c r="M124" t="s">
        <v>100</v>
      </c>
      <c r="N124" t="s">
        <v>261</v>
      </c>
      <c r="O124" t="s">
        <v>262</v>
      </c>
      <c r="P124" t="s">
        <v>170</v>
      </c>
      <c r="R124" t="s">
        <v>263</v>
      </c>
      <c r="S124" s="4">
        <f t="shared" ca="1" si="3"/>
        <v>91.365358796298096</v>
      </c>
    </row>
    <row r="125" spans="1:19" hidden="1" x14ac:dyDescent="0.35">
      <c r="A125">
        <v>93</v>
      </c>
      <c r="B125" t="s">
        <v>257</v>
      </c>
      <c r="C125" t="s">
        <v>258</v>
      </c>
      <c r="D125" t="s">
        <v>19</v>
      </c>
      <c r="E125" t="s">
        <v>167</v>
      </c>
      <c r="F125" t="s">
        <v>100</v>
      </c>
      <c r="G125" s="2">
        <v>46021.634641203702</v>
      </c>
      <c r="H125" s="2">
        <v>46031.492361111108</v>
      </c>
      <c r="I125" t="s">
        <v>100</v>
      </c>
      <c r="K125" s="2">
        <f t="shared" si="5"/>
        <v>46029.634641203702</v>
      </c>
      <c r="L125" s="2">
        <v>46027.38826388889</v>
      </c>
      <c r="M125" t="s">
        <v>100</v>
      </c>
      <c r="N125" t="s">
        <v>261</v>
      </c>
      <c r="O125" t="s">
        <v>262</v>
      </c>
      <c r="P125" t="s">
        <v>170</v>
      </c>
      <c r="Q125" t="s">
        <v>96</v>
      </c>
      <c r="R125" t="s">
        <v>264</v>
      </c>
      <c r="S125" s="4">
        <f t="shared" ca="1" si="3"/>
        <v>91.365358796298096</v>
      </c>
    </row>
    <row r="126" spans="1:19" hidden="1" x14ac:dyDescent="0.35">
      <c r="A126">
        <v>93</v>
      </c>
      <c r="B126" t="s">
        <v>257</v>
      </c>
      <c r="C126" t="s">
        <v>258</v>
      </c>
      <c r="D126" t="s">
        <v>19</v>
      </c>
      <c r="E126" t="s">
        <v>167</v>
      </c>
      <c r="F126" t="s">
        <v>100</v>
      </c>
      <c r="G126" s="2">
        <v>46021.634641203702</v>
      </c>
      <c r="H126" s="2">
        <v>46031.492361111108</v>
      </c>
      <c r="I126" t="s">
        <v>100</v>
      </c>
      <c r="K126" s="2">
        <f t="shared" si="5"/>
        <v>46029.634641203702</v>
      </c>
      <c r="L126" s="2">
        <v>46030.49255787037</v>
      </c>
      <c r="M126" t="s">
        <v>100</v>
      </c>
      <c r="N126" t="s">
        <v>261</v>
      </c>
      <c r="O126" t="s">
        <v>265</v>
      </c>
      <c r="P126" t="s">
        <v>170</v>
      </c>
      <c r="Q126" t="s">
        <v>96</v>
      </c>
      <c r="R126" t="s">
        <v>266</v>
      </c>
      <c r="S126" s="4">
        <f t="shared" ca="1" si="3"/>
        <v>91.365358796298096</v>
      </c>
    </row>
    <row r="127" spans="1:19" hidden="1" x14ac:dyDescent="0.35">
      <c r="A127">
        <v>93</v>
      </c>
      <c r="B127" t="s">
        <v>257</v>
      </c>
      <c r="C127" t="s">
        <v>258</v>
      </c>
      <c r="D127" t="s">
        <v>19</v>
      </c>
      <c r="E127" t="s">
        <v>167</v>
      </c>
      <c r="F127" t="s">
        <v>100</v>
      </c>
      <c r="G127" s="2">
        <v>46021.634641203702</v>
      </c>
      <c r="H127" s="2">
        <v>46031.492361111108</v>
      </c>
      <c r="I127" t="s">
        <v>100</v>
      </c>
      <c r="K127" s="2">
        <f t="shared" si="5"/>
        <v>46029.634641203702</v>
      </c>
      <c r="L127" s="2">
        <v>46031.420555555553</v>
      </c>
      <c r="M127" t="s">
        <v>100</v>
      </c>
      <c r="N127" t="s">
        <v>267</v>
      </c>
      <c r="O127" t="s">
        <v>267</v>
      </c>
      <c r="P127" t="s">
        <v>170</v>
      </c>
      <c r="Q127" t="s">
        <v>178</v>
      </c>
      <c r="R127" t="s">
        <v>268</v>
      </c>
      <c r="S127" s="4">
        <f t="shared" ca="1" si="3"/>
        <v>91.365358796298096</v>
      </c>
    </row>
    <row r="128" spans="1:19" hidden="1" x14ac:dyDescent="0.35">
      <c r="A128">
        <v>93</v>
      </c>
      <c r="B128" t="s">
        <v>257</v>
      </c>
      <c r="C128" t="s">
        <v>258</v>
      </c>
      <c r="D128" t="s">
        <v>19</v>
      </c>
      <c r="E128" t="s">
        <v>167</v>
      </c>
      <c r="F128" t="s">
        <v>100</v>
      </c>
      <c r="G128" s="2">
        <v>46021.634641203702</v>
      </c>
      <c r="H128" s="2">
        <v>46031.492361111108</v>
      </c>
      <c r="I128" t="s">
        <v>100</v>
      </c>
      <c r="K128" s="2">
        <f t="shared" si="5"/>
        <v>46029.634641203702</v>
      </c>
      <c r="L128" s="2">
        <v>46031.614618055559</v>
      </c>
      <c r="M128" t="s">
        <v>100</v>
      </c>
      <c r="N128" t="s">
        <v>269</v>
      </c>
      <c r="O128" t="s">
        <v>270</v>
      </c>
      <c r="P128" t="s">
        <v>170</v>
      </c>
      <c r="Q128" t="s">
        <v>96</v>
      </c>
      <c r="R128" t="s">
        <v>271</v>
      </c>
      <c r="S128" s="4">
        <f t="shared" ca="1" si="3"/>
        <v>91.365358796298096</v>
      </c>
    </row>
    <row r="129" spans="1:19" hidden="1" x14ac:dyDescent="0.35">
      <c r="A129">
        <v>93</v>
      </c>
      <c r="B129" t="s">
        <v>257</v>
      </c>
      <c r="C129" t="s">
        <v>258</v>
      </c>
      <c r="D129" t="s">
        <v>19</v>
      </c>
      <c r="E129" t="s">
        <v>167</v>
      </c>
      <c r="F129" t="s">
        <v>100</v>
      </c>
      <c r="G129" s="2">
        <v>46021.634641203702</v>
      </c>
      <c r="H129" s="2">
        <v>46031.492361111108</v>
      </c>
      <c r="I129" t="s">
        <v>100</v>
      </c>
      <c r="K129" s="2">
        <f t="shared" si="5"/>
        <v>46029.634641203702</v>
      </c>
      <c r="L129" s="2">
        <v>46031.615289351852</v>
      </c>
      <c r="M129" t="s">
        <v>100</v>
      </c>
      <c r="N129" t="s">
        <v>272</v>
      </c>
      <c r="O129" t="s">
        <v>273</v>
      </c>
      <c r="P129" t="s">
        <v>106</v>
      </c>
      <c r="Q129" t="s">
        <v>96</v>
      </c>
      <c r="R129" t="s">
        <v>274</v>
      </c>
      <c r="S129" s="4">
        <f t="shared" ca="1" si="3"/>
        <v>91.365358796298096</v>
      </c>
    </row>
    <row r="130" spans="1:19" hidden="1" x14ac:dyDescent="0.35">
      <c r="A130">
        <v>93</v>
      </c>
      <c r="B130" t="s">
        <v>257</v>
      </c>
      <c r="C130" t="s">
        <v>258</v>
      </c>
      <c r="D130" t="s">
        <v>19</v>
      </c>
      <c r="E130" t="s">
        <v>167</v>
      </c>
      <c r="F130" t="s">
        <v>100</v>
      </c>
      <c r="G130" s="2">
        <v>46021.634641203702</v>
      </c>
      <c r="H130" s="2">
        <v>46031.492361111108</v>
      </c>
      <c r="I130" t="s">
        <v>100</v>
      </c>
      <c r="K130" s="2">
        <f t="shared" si="5"/>
        <v>46029.634641203702</v>
      </c>
      <c r="L130" s="2">
        <v>46031.68341435185</v>
      </c>
      <c r="M130" t="s">
        <v>100</v>
      </c>
      <c r="N130" t="s">
        <v>275</v>
      </c>
      <c r="O130" t="s">
        <v>276</v>
      </c>
      <c r="P130" t="s">
        <v>106</v>
      </c>
      <c r="Q130" t="s">
        <v>277</v>
      </c>
      <c r="R130" t="s">
        <v>278</v>
      </c>
      <c r="S130" s="4">
        <f t="shared" ca="1" si="3"/>
        <v>91.365358796298096</v>
      </c>
    </row>
    <row r="131" spans="1:19" hidden="1" x14ac:dyDescent="0.35">
      <c r="A131">
        <v>94</v>
      </c>
      <c r="B131" t="s">
        <v>279</v>
      </c>
      <c r="C131" t="s">
        <v>280</v>
      </c>
      <c r="D131" t="s">
        <v>19</v>
      </c>
      <c r="E131" t="s">
        <v>167</v>
      </c>
      <c r="F131" t="s">
        <v>100</v>
      </c>
      <c r="G131" s="2">
        <v>46021.637037037035</v>
      </c>
      <c r="H131" s="2">
        <v>46027.488888888889</v>
      </c>
      <c r="I131" t="s">
        <v>100</v>
      </c>
      <c r="K131" s="2">
        <f t="shared" si="5"/>
        <v>46029.637037037035</v>
      </c>
      <c r="L131" s="2">
        <v>46021.637465277781</v>
      </c>
      <c r="M131" t="s">
        <v>100</v>
      </c>
      <c r="N131" t="s">
        <v>281</v>
      </c>
      <c r="O131" t="s">
        <v>281</v>
      </c>
      <c r="P131" t="s">
        <v>170</v>
      </c>
      <c r="S131" s="4">
        <f t="shared" ref="S131:S194" ca="1" si="6">TODAY()-G131</f>
        <v>91.362962962964957</v>
      </c>
    </row>
    <row r="132" spans="1:19" hidden="1" x14ac:dyDescent="0.35">
      <c r="A132">
        <v>94</v>
      </c>
      <c r="B132" t="s">
        <v>279</v>
      </c>
      <c r="C132" t="s">
        <v>280</v>
      </c>
      <c r="D132" t="s">
        <v>19</v>
      </c>
      <c r="E132" t="s">
        <v>167</v>
      </c>
      <c r="F132" t="s">
        <v>100</v>
      </c>
      <c r="G132" s="2">
        <v>46021.637037037035</v>
      </c>
      <c r="H132" s="2">
        <v>46027.488888888889</v>
      </c>
      <c r="I132" t="s">
        <v>100</v>
      </c>
      <c r="K132" s="2">
        <f t="shared" si="5"/>
        <v>46029.637037037035</v>
      </c>
      <c r="L132" s="2">
        <v>46027.373090277775</v>
      </c>
      <c r="M132" t="s">
        <v>100</v>
      </c>
      <c r="N132" t="s">
        <v>281</v>
      </c>
      <c r="O132" t="s">
        <v>282</v>
      </c>
      <c r="P132" t="s">
        <v>170</v>
      </c>
      <c r="Q132" t="s">
        <v>283</v>
      </c>
      <c r="S132" s="4">
        <f t="shared" ca="1" si="6"/>
        <v>91.362962962964957</v>
      </c>
    </row>
    <row r="133" spans="1:19" hidden="1" x14ac:dyDescent="0.35">
      <c r="A133">
        <v>94</v>
      </c>
      <c r="B133" t="s">
        <v>279</v>
      </c>
      <c r="C133" t="s">
        <v>280</v>
      </c>
      <c r="D133" t="s">
        <v>19</v>
      </c>
      <c r="E133" t="s">
        <v>167</v>
      </c>
      <c r="F133" t="s">
        <v>100</v>
      </c>
      <c r="G133" s="2">
        <v>46021.637037037035</v>
      </c>
      <c r="H133" s="2">
        <v>46027.488888888889</v>
      </c>
      <c r="I133" t="s">
        <v>100</v>
      </c>
      <c r="K133" s="2">
        <f t="shared" si="5"/>
        <v>46029.637037037035</v>
      </c>
      <c r="L133" s="2">
        <v>46030.487638888888</v>
      </c>
      <c r="M133" t="s">
        <v>100</v>
      </c>
      <c r="N133" t="s">
        <v>284</v>
      </c>
      <c r="O133" t="s">
        <v>285</v>
      </c>
      <c r="P133" t="s">
        <v>170</v>
      </c>
      <c r="Q133" t="s">
        <v>283</v>
      </c>
      <c r="R133" t="s">
        <v>286</v>
      </c>
      <c r="S133" s="4">
        <f t="shared" ca="1" si="6"/>
        <v>91.362962962964957</v>
      </c>
    </row>
    <row r="134" spans="1:19" hidden="1" x14ac:dyDescent="0.35">
      <c r="A134">
        <v>94</v>
      </c>
      <c r="B134" t="s">
        <v>279</v>
      </c>
      <c r="C134" t="s">
        <v>280</v>
      </c>
      <c r="D134" t="s">
        <v>19</v>
      </c>
      <c r="E134" t="s">
        <v>167</v>
      </c>
      <c r="F134" t="s">
        <v>100</v>
      </c>
      <c r="G134" s="2">
        <v>46021.637037037035</v>
      </c>
      <c r="H134" s="2">
        <v>46027.488888888889</v>
      </c>
      <c r="I134" t="s">
        <v>100</v>
      </c>
      <c r="K134" s="2">
        <f t="shared" si="5"/>
        <v>46029.637037037035</v>
      </c>
      <c r="L134" s="2">
        <v>46034.469571759262</v>
      </c>
      <c r="M134" t="s">
        <v>100</v>
      </c>
      <c r="N134" t="s">
        <v>287</v>
      </c>
      <c r="O134" t="s">
        <v>288</v>
      </c>
      <c r="P134" t="s">
        <v>106</v>
      </c>
      <c r="Q134" t="s">
        <v>178</v>
      </c>
      <c r="R134" t="s">
        <v>289</v>
      </c>
      <c r="S134" s="4">
        <f t="shared" ca="1" si="6"/>
        <v>91.362962962964957</v>
      </c>
    </row>
    <row r="135" spans="1:19" hidden="1" x14ac:dyDescent="0.35">
      <c r="A135">
        <v>95</v>
      </c>
      <c r="B135" t="s">
        <v>290</v>
      </c>
      <c r="C135" t="s">
        <v>291</v>
      </c>
      <c r="D135" t="s">
        <v>27</v>
      </c>
      <c r="E135" t="s">
        <v>197</v>
      </c>
      <c r="F135" t="s">
        <v>100</v>
      </c>
      <c r="G135" s="2">
        <v>46021.649097222224</v>
      </c>
      <c r="I135" t="s">
        <v>100</v>
      </c>
      <c r="K135" s="2">
        <f t="shared" si="5"/>
        <v>46029.649097222224</v>
      </c>
      <c r="L135" s="2">
        <v>46021.649699074071</v>
      </c>
      <c r="M135" t="s">
        <v>100</v>
      </c>
      <c r="N135" t="s">
        <v>292</v>
      </c>
      <c r="O135" t="s">
        <v>293</v>
      </c>
      <c r="P135" t="s">
        <v>106</v>
      </c>
      <c r="S135" s="4">
        <f t="shared" ca="1" si="6"/>
        <v>91.350902777776355</v>
      </c>
    </row>
    <row r="136" spans="1:19" hidden="1" x14ac:dyDescent="0.35">
      <c r="A136">
        <v>96</v>
      </c>
      <c r="B136" t="s">
        <v>294</v>
      </c>
      <c r="D136" t="s">
        <v>19</v>
      </c>
      <c r="E136" t="s">
        <v>20</v>
      </c>
      <c r="F136" t="s">
        <v>24</v>
      </c>
      <c r="G136" s="2">
        <v>46025.425405092596</v>
      </c>
      <c r="H136" s="2">
        <v>46025.552083333336</v>
      </c>
      <c r="I136" t="s">
        <v>24</v>
      </c>
      <c r="J136" t="s">
        <v>25</v>
      </c>
      <c r="K136" s="2">
        <f t="shared" si="5"/>
        <v>46033.425405092596</v>
      </c>
      <c r="S136" s="4">
        <f t="shared" ca="1" si="6"/>
        <v>87.574594907404389</v>
      </c>
    </row>
    <row r="137" spans="1:19" hidden="1" x14ac:dyDescent="0.35">
      <c r="A137">
        <v>97</v>
      </c>
      <c r="B137" t="s">
        <v>295</v>
      </c>
      <c r="D137" t="s">
        <v>19</v>
      </c>
      <c r="E137" t="s">
        <v>20</v>
      </c>
      <c r="F137" t="s">
        <v>24</v>
      </c>
      <c r="G137" s="2">
        <v>46025.587245370371</v>
      </c>
      <c r="H137" s="2">
        <v>46025.755555555559</v>
      </c>
      <c r="I137" t="s">
        <v>24</v>
      </c>
      <c r="J137" t="s">
        <v>25</v>
      </c>
      <c r="K137" s="2">
        <f t="shared" si="5"/>
        <v>46033.587245370371</v>
      </c>
      <c r="S137" s="4">
        <f t="shared" ca="1" si="6"/>
        <v>87.41275462962949</v>
      </c>
    </row>
    <row r="138" spans="1:19" x14ac:dyDescent="0.35">
      <c r="A138">
        <v>98</v>
      </c>
      <c r="B138" t="s">
        <v>296</v>
      </c>
      <c r="C138" t="s">
        <v>296</v>
      </c>
      <c r="D138" t="s">
        <v>218</v>
      </c>
      <c r="E138" t="s">
        <v>219</v>
      </c>
      <c r="F138" t="s">
        <v>100</v>
      </c>
      <c r="G138" s="2">
        <v>46096.581296296295</v>
      </c>
      <c r="H138" s="2">
        <v>46020.580555555556</v>
      </c>
      <c r="I138" t="s">
        <v>100</v>
      </c>
      <c r="J138" t="s">
        <v>30</v>
      </c>
      <c r="K138" s="2">
        <f t="shared" si="5"/>
        <v>46104.581296296295</v>
      </c>
      <c r="L138" s="2">
        <v>46096.581296296295</v>
      </c>
      <c r="N138" t="s">
        <v>504</v>
      </c>
      <c r="O138" t="s">
        <v>297</v>
      </c>
      <c r="P138" t="s">
        <v>106</v>
      </c>
      <c r="Q138" t="s">
        <v>213</v>
      </c>
      <c r="R138" s="2">
        <v>46104.581296296295</v>
      </c>
      <c r="S138" s="5">
        <v>8</v>
      </c>
    </row>
    <row r="139" spans="1:19" x14ac:dyDescent="0.35">
      <c r="A139">
        <v>99</v>
      </c>
      <c r="B139" t="s">
        <v>499</v>
      </c>
      <c r="C139" t="s">
        <v>298</v>
      </c>
      <c r="D139" t="s">
        <v>218</v>
      </c>
      <c r="E139" t="s">
        <v>219</v>
      </c>
      <c r="F139" t="s">
        <v>100</v>
      </c>
      <c r="G139" s="2">
        <v>46096.583506944444</v>
      </c>
      <c r="H139" s="2">
        <v>46020.583333333336</v>
      </c>
      <c r="I139" t="s">
        <v>100</v>
      </c>
      <c r="J139" t="s">
        <v>30</v>
      </c>
      <c r="K139" s="2">
        <f t="shared" si="5"/>
        <v>46104.583506944444</v>
      </c>
      <c r="L139" s="2">
        <v>46096.583506944444</v>
      </c>
      <c r="N139" t="s">
        <v>504</v>
      </c>
      <c r="O139" t="s">
        <v>297</v>
      </c>
      <c r="P139" t="s">
        <v>106</v>
      </c>
      <c r="Q139" t="s">
        <v>213</v>
      </c>
      <c r="R139" s="2">
        <v>46104.583506944444</v>
      </c>
      <c r="S139" s="5">
        <v>8</v>
      </c>
    </row>
    <row r="140" spans="1:19" x14ac:dyDescent="0.35">
      <c r="A140">
        <v>100</v>
      </c>
      <c r="B140" t="s">
        <v>298</v>
      </c>
      <c r="C140" t="s">
        <v>298</v>
      </c>
      <c r="D140" t="s">
        <v>218</v>
      </c>
      <c r="E140" t="s">
        <v>219</v>
      </c>
      <c r="F140" t="s">
        <v>100</v>
      </c>
      <c r="G140" s="2">
        <v>46096.69798611111</v>
      </c>
      <c r="H140" s="2">
        <v>46020.697222222225</v>
      </c>
      <c r="I140" t="s">
        <v>100</v>
      </c>
      <c r="J140" t="s">
        <v>30</v>
      </c>
      <c r="K140" s="2">
        <f t="shared" si="5"/>
        <v>46104.69798611111</v>
      </c>
      <c r="L140" s="2">
        <v>46096.69798611111</v>
      </c>
      <c r="N140" t="s">
        <v>504</v>
      </c>
      <c r="O140" t="s">
        <v>297</v>
      </c>
      <c r="P140" t="s">
        <v>106</v>
      </c>
      <c r="Q140" t="s">
        <v>213</v>
      </c>
      <c r="R140" s="2">
        <v>46104.69798611111</v>
      </c>
      <c r="S140" s="5">
        <v>8</v>
      </c>
    </row>
    <row r="141" spans="1:19" x14ac:dyDescent="0.35">
      <c r="A141">
        <v>101</v>
      </c>
      <c r="B141" t="s">
        <v>299</v>
      </c>
      <c r="C141" t="s">
        <v>299</v>
      </c>
      <c r="D141" t="s">
        <v>218</v>
      </c>
      <c r="E141" t="s">
        <v>219</v>
      </c>
      <c r="F141" t="s">
        <v>100</v>
      </c>
      <c r="G141" s="2">
        <v>46096.700949074075</v>
      </c>
      <c r="H141" s="2">
        <v>46020.700694444444</v>
      </c>
      <c r="I141" t="s">
        <v>100</v>
      </c>
      <c r="J141" t="s">
        <v>30</v>
      </c>
      <c r="K141" s="2">
        <f t="shared" si="5"/>
        <v>46104.700949074075</v>
      </c>
      <c r="L141" s="2">
        <v>46096.700949074075</v>
      </c>
      <c r="N141" t="s">
        <v>504</v>
      </c>
      <c r="O141" t="s">
        <v>297</v>
      </c>
      <c r="P141" t="s">
        <v>106</v>
      </c>
      <c r="Q141" t="s">
        <v>213</v>
      </c>
      <c r="R141" s="2">
        <v>46104.700949074075</v>
      </c>
      <c r="S141" s="5">
        <v>8</v>
      </c>
    </row>
    <row r="142" spans="1:19" x14ac:dyDescent="0.35">
      <c r="A142">
        <v>102</v>
      </c>
      <c r="B142" t="s">
        <v>300</v>
      </c>
      <c r="C142" t="s">
        <v>300</v>
      </c>
      <c r="D142" t="s">
        <v>218</v>
      </c>
      <c r="E142" t="s">
        <v>219</v>
      </c>
      <c r="F142" t="s">
        <v>100</v>
      </c>
      <c r="G142" s="2">
        <v>46096.701504629629</v>
      </c>
      <c r="H142" s="2">
        <v>46020.701388888891</v>
      </c>
      <c r="I142" t="s">
        <v>100</v>
      </c>
      <c r="J142" t="s">
        <v>30</v>
      </c>
      <c r="K142" s="2">
        <f t="shared" si="5"/>
        <v>46104.701504629629</v>
      </c>
      <c r="L142" s="2">
        <v>46096.701504629629</v>
      </c>
      <c r="N142" t="s">
        <v>504</v>
      </c>
      <c r="O142" t="s">
        <v>297</v>
      </c>
      <c r="P142" t="s">
        <v>106</v>
      </c>
      <c r="Q142" t="s">
        <v>213</v>
      </c>
      <c r="R142" s="2">
        <v>46104.701504629629</v>
      </c>
      <c r="S142" s="5">
        <v>8</v>
      </c>
    </row>
    <row r="143" spans="1:19" hidden="1" x14ac:dyDescent="0.35">
      <c r="A143">
        <v>103</v>
      </c>
      <c r="B143" t="s">
        <v>301</v>
      </c>
      <c r="C143" t="s">
        <v>301</v>
      </c>
      <c r="D143" t="s">
        <v>27</v>
      </c>
      <c r="E143" t="s">
        <v>219</v>
      </c>
      <c r="F143" t="s">
        <v>100</v>
      </c>
      <c r="G143" s="2">
        <v>46105.702291666668</v>
      </c>
      <c r="H143" s="2">
        <v>46115</v>
      </c>
      <c r="I143" t="s">
        <v>100</v>
      </c>
      <c r="J143" t="s">
        <v>30</v>
      </c>
      <c r="K143" s="2">
        <v>46115</v>
      </c>
      <c r="L143" s="2">
        <v>46115</v>
      </c>
      <c r="M143" t="s">
        <v>100</v>
      </c>
      <c r="N143" t="s">
        <v>302</v>
      </c>
      <c r="O143" t="s">
        <v>302</v>
      </c>
      <c r="P143" t="s">
        <v>106</v>
      </c>
      <c r="Q143" t="s">
        <v>100</v>
      </c>
      <c r="R143" s="2">
        <v>46115</v>
      </c>
      <c r="S143" s="4">
        <f t="shared" ca="1" si="6"/>
        <v>7.2977083333316841</v>
      </c>
    </row>
    <row r="144" spans="1:19" hidden="1" x14ac:dyDescent="0.35">
      <c r="A144">
        <v>104</v>
      </c>
      <c r="B144" t="s">
        <v>303</v>
      </c>
      <c r="C144" t="s">
        <v>304</v>
      </c>
      <c r="D144" t="s">
        <v>19</v>
      </c>
      <c r="E144" t="s">
        <v>197</v>
      </c>
      <c r="F144" t="s">
        <v>100</v>
      </c>
      <c r="G144" s="2">
        <v>46030.363159722219</v>
      </c>
      <c r="H144" s="2">
        <v>46027.362500000003</v>
      </c>
      <c r="I144" t="s">
        <v>100</v>
      </c>
      <c r="K144" s="2">
        <v>46115</v>
      </c>
      <c r="L144" s="2">
        <v>46115</v>
      </c>
      <c r="M144" t="s">
        <v>100</v>
      </c>
      <c r="N144" t="s">
        <v>305</v>
      </c>
      <c r="O144" t="s">
        <v>306</v>
      </c>
      <c r="P144" t="s">
        <v>170</v>
      </c>
      <c r="Q144" t="s">
        <v>244</v>
      </c>
      <c r="R144" t="s">
        <v>307</v>
      </c>
      <c r="S144" s="4">
        <f t="shared" ca="1" si="6"/>
        <v>82.63684027778072</v>
      </c>
    </row>
    <row r="145" spans="1:19" hidden="1" x14ac:dyDescent="0.35">
      <c r="A145">
        <v>104</v>
      </c>
      <c r="B145" t="s">
        <v>303</v>
      </c>
      <c r="C145" t="s">
        <v>304</v>
      </c>
      <c r="D145" t="s">
        <v>19</v>
      </c>
      <c r="E145" t="s">
        <v>197</v>
      </c>
      <c r="F145" t="s">
        <v>100</v>
      </c>
      <c r="G145" s="2">
        <v>46030.363159722219</v>
      </c>
      <c r="H145" s="2">
        <v>46027.362500000003</v>
      </c>
      <c r="I145" t="s">
        <v>100</v>
      </c>
      <c r="K145" s="2">
        <v>46115</v>
      </c>
      <c r="L145" s="2">
        <v>46115</v>
      </c>
      <c r="M145" t="s">
        <v>100</v>
      </c>
      <c r="N145" t="s">
        <v>308</v>
      </c>
      <c r="O145" t="s">
        <v>308</v>
      </c>
      <c r="P145" t="s">
        <v>106</v>
      </c>
      <c r="Q145" t="s">
        <v>244</v>
      </c>
      <c r="R145" t="s">
        <v>309</v>
      </c>
      <c r="S145" s="4">
        <f t="shared" ca="1" si="6"/>
        <v>82.63684027778072</v>
      </c>
    </row>
    <row r="146" spans="1:19" hidden="1" x14ac:dyDescent="0.35">
      <c r="A146">
        <v>104</v>
      </c>
      <c r="B146" t="s">
        <v>303</v>
      </c>
      <c r="C146" t="s">
        <v>304</v>
      </c>
      <c r="D146" t="s">
        <v>19</v>
      </c>
      <c r="E146" t="s">
        <v>197</v>
      </c>
      <c r="F146" t="s">
        <v>100</v>
      </c>
      <c r="G146" s="2">
        <v>46030.363159722219</v>
      </c>
      <c r="H146" s="2">
        <v>46027.362500000003</v>
      </c>
      <c r="I146" t="s">
        <v>100</v>
      </c>
      <c r="K146" s="2">
        <v>46115</v>
      </c>
      <c r="L146" s="2">
        <v>46115</v>
      </c>
      <c r="M146" t="s">
        <v>100</v>
      </c>
      <c r="N146" t="s">
        <v>310</v>
      </c>
      <c r="O146" t="s">
        <v>306</v>
      </c>
      <c r="P146" t="s">
        <v>170</v>
      </c>
      <c r="Q146" t="s">
        <v>175</v>
      </c>
      <c r="R146" t="s">
        <v>311</v>
      </c>
      <c r="S146" s="4">
        <f t="shared" ca="1" si="6"/>
        <v>82.63684027778072</v>
      </c>
    </row>
    <row r="147" spans="1:19" hidden="1" x14ac:dyDescent="0.35">
      <c r="A147">
        <v>104</v>
      </c>
      <c r="B147" t="s">
        <v>303</v>
      </c>
      <c r="C147" t="s">
        <v>304</v>
      </c>
      <c r="D147" t="s">
        <v>19</v>
      </c>
      <c r="E147" t="s">
        <v>197</v>
      </c>
      <c r="F147" t="s">
        <v>100</v>
      </c>
      <c r="G147" s="2">
        <v>46030.363159722219</v>
      </c>
      <c r="H147" s="2">
        <v>46027.362500000003</v>
      </c>
      <c r="I147" t="s">
        <v>100</v>
      </c>
      <c r="K147" s="2">
        <v>46115</v>
      </c>
      <c r="L147" s="2">
        <v>46115</v>
      </c>
      <c r="M147" t="s">
        <v>100</v>
      </c>
      <c r="N147" t="s">
        <v>310</v>
      </c>
      <c r="O147" t="s">
        <v>312</v>
      </c>
      <c r="P147" t="s">
        <v>106</v>
      </c>
      <c r="Q147" t="s">
        <v>175</v>
      </c>
      <c r="R147" t="s">
        <v>313</v>
      </c>
      <c r="S147" s="4">
        <f t="shared" ca="1" si="6"/>
        <v>82.63684027778072</v>
      </c>
    </row>
    <row r="148" spans="1:19" hidden="1" x14ac:dyDescent="0.35">
      <c r="A148">
        <v>105</v>
      </c>
      <c r="B148" t="s">
        <v>314</v>
      </c>
      <c r="C148" t="s">
        <v>314</v>
      </c>
      <c r="D148" t="s">
        <v>19</v>
      </c>
      <c r="E148" t="s">
        <v>167</v>
      </c>
      <c r="F148" t="s">
        <v>100</v>
      </c>
      <c r="G148" s="2">
        <v>46030.369745370372</v>
      </c>
      <c r="H148" s="2">
        <v>46038.369444444441</v>
      </c>
      <c r="I148" t="s">
        <v>100</v>
      </c>
      <c r="K148" s="2">
        <v>46115</v>
      </c>
      <c r="L148" s="2">
        <v>46115</v>
      </c>
      <c r="N148" t="s">
        <v>315</v>
      </c>
      <c r="O148" t="s">
        <v>315</v>
      </c>
      <c r="P148" t="s">
        <v>106</v>
      </c>
      <c r="Q148" t="s">
        <v>100</v>
      </c>
      <c r="R148" t="s">
        <v>316</v>
      </c>
      <c r="S148" s="4">
        <f t="shared" ca="1" si="6"/>
        <v>82.630254629628325</v>
      </c>
    </row>
    <row r="149" spans="1:19" hidden="1" x14ac:dyDescent="0.35">
      <c r="A149">
        <v>105</v>
      </c>
      <c r="B149" t="s">
        <v>314</v>
      </c>
      <c r="C149" t="s">
        <v>314</v>
      </c>
      <c r="D149" t="s">
        <v>19</v>
      </c>
      <c r="E149" t="s">
        <v>167</v>
      </c>
      <c r="F149" t="s">
        <v>100</v>
      </c>
      <c r="G149" s="2">
        <v>46030.369745370372</v>
      </c>
      <c r="H149" s="2">
        <v>46038.369444444441</v>
      </c>
      <c r="I149" t="s">
        <v>100</v>
      </c>
      <c r="K149" s="2">
        <v>46115</v>
      </c>
      <c r="L149" s="2">
        <v>46115</v>
      </c>
      <c r="M149" t="s">
        <v>100</v>
      </c>
      <c r="N149" t="s">
        <v>317</v>
      </c>
      <c r="O149" t="s">
        <v>317</v>
      </c>
      <c r="P149" t="s">
        <v>106</v>
      </c>
      <c r="Q149" t="s">
        <v>318</v>
      </c>
      <c r="R149" t="s">
        <v>319</v>
      </c>
      <c r="S149" s="4">
        <f t="shared" ca="1" si="6"/>
        <v>82.630254629628325</v>
      </c>
    </row>
    <row r="150" spans="1:19" hidden="1" x14ac:dyDescent="0.35">
      <c r="A150">
        <v>105</v>
      </c>
      <c r="B150" t="s">
        <v>314</v>
      </c>
      <c r="C150" t="s">
        <v>314</v>
      </c>
      <c r="D150" t="s">
        <v>19</v>
      </c>
      <c r="E150" t="s">
        <v>167</v>
      </c>
      <c r="F150" t="s">
        <v>100</v>
      </c>
      <c r="G150" s="2">
        <v>46030.369745370372</v>
      </c>
      <c r="H150" s="2">
        <v>46038.369444444441</v>
      </c>
      <c r="I150" t="s">
        <v>100</v>
      </c>
      <c r="K150" s="2">
        <v>46115</v>
      </c>
      <c r="L150" s="2">
        <v>46115</v>
      </c>
      <c r="M150" t="s">
        <v>100</v>
      </c>
      <c r="N150" t="s">
        <v>320</v>
      </c>
      <c r="O150" t="s">
        <v>321</v>
      </c>
      <c r="P150" t="s">
        <v>106</v>
      </c>
      <c r="Q150" t="s">
        <v>322</v>
      </c>
      <c r="R150" t="s">
        <v>323</v>
      </c>
      <c r="S150" s="4">
        <f t="shared" ca="1" si="6"/>
        <v>82.630254629628325</v>
      </c>
    </row>
    <row r="151" spans="1:19" hidden="1" x14ac:dyDescent="0.35">
      <c r="A151">
        <v>105</v>
      </c>
      <c r="B151" t="s">
        <v>314</v>
      </c>
      <c r="C151" t="s">
        <v>314</v>
      </c>
      <c r="D151" t="s">
        <v>19</v>
      </c>
      <c r="E151" t="s">
        <v>167</v>
      </c>
      <c r="F151" t="s">
        <v>100</v>
      </c>
      <c r="G151" s="2">
        <v>46030.369745370372</v>
      </c>
      <c r="H151" s="2">
        <v>46038.369444444441</v>
      </c>
      <c r="I151" t="s">
        <v>100</v>
      </c>
      <c r="K151" s="2">
        <v>46115</v>
      </c>
      <c r="L151" s="2">
        <v>46115</v>
      </c>
      <c r="M151" t="s">
        <v>100</v>
      </c>
      <c r="N151" t="s">
        <v>324</v>
      </c>
      <c r="O151" t="s">
        <v>325</v>
      </c>
      <c r="P151" t="s">
        <v>106</v>
      </c>
      <c r="R151" t="s">
        <v>326</v>
      </c>
      <c r="S151" s="4">
        <f t="shared" ca="1" si="6"/>
        <v>82.630254629628325</v>
      </c>
    </row>
    <row r="152" spans="1:19" hidden="1" x14ac:dyDescent="0.35">
      <c r="A152">
        <v>106</v>
      </c>
      <c r="B152" t="s">
        <v>327</v>
      </c>
      <c r="C152" t="s">
        <v>328</v>
      </c>
      <c r="D152" t="s">
        <v>19</v>
      </c>
      <c r="E152" t="s">
        <v>167</v>
      </c>
      <c r="F152" t="s">
        <v>100</v>
      </c>
      <c r="G152" s="2">
        <v>46030.371863425928</v>
      </c>
      <c r="H152" s="2">
        <v>46028.371527777781</v>
      </c>
      <c r="I152" t="s">
        <v>100</v>
      </c>
      <c r="K152" s="2">
        <v>46115</v>
      </c>
      <c r="L152" s="2">
        <v>46115</v>
      </c>
      <c r="N152" t="s">
        <v>329</v>
      </c>
      <c r="O152" t="s">
        <v>330</v>
      </c>
      <c r="P152" t="s">
        <v>106</v>
      </c>
      <c r="Q152" t="s">
        <v>100</v>
      </c>
      <c r="R152" t="s">
        <v>331</v>
      </c>
      <c r="S152" s="4">
        <f t="shared" ca="1" si="6"/>
        <v>82.628136574072414</v>
      </c>
    </row>
    <row r="153" spans="1:19" hidden="1" x14ac:dyDescent="0.35">
      <c r="A153">
        <v>106</v>
      </c>
      <c r="B153" t="s">
        <v>327</v>
      </c>
      <c r="C153" t="s">
        <v>328</v>
      </c>
      <c r="D153" t="s">
        <v>19</v>
      </c>
      <c r="E153" t="s">
        <v>167</v>
      </c>
      <c r="F153" t="s">
        <v>100</v>
      </c>
      <c r="G153" s="2">
        <v>46030.371863425928</v>
      </c>
      <c r="H153" s="2">
        <v>46028.371527777781</v>
      </c>
      <c r="I153" t="s">
        <v>100</v>
      </c>
      <c r="K153" s="2">
        <f t="shared" ref="K153:K214" si="7">G153+3</f>
        <v>46033.371863425928</v>
      </c>
      <c r="L153" s="2">
        <v>46030.372395833336</v>
      </c>
      <c r="M153" t="s">
        <v>100</v>
      </c>
      <c r="N153" t="s">
        <v>332</v>
      </c>
      <c r="O153" t="s">
        <v>333</v>
      </c>
      <c r="P153" t="s">
        <v>106</v>
      </c>
      <c r="Q153" t="s">
        <v>244</v>
      </c>
      <c r="R153" t="s">
        <v>334</v>
      </c>
      <c r="S153" s="4">
        <f t="shared" ca="1" si="6"/>
        <v>82.628136574072414</v>
      </c>
    </row>
    <row r="154" spans="1:19" hidden="1" x14ac:dyDescent="0.35">
      <c r="A154">
        <v>106</v>
      </c>
      <c r="B154" t="s">
        <v>327</v>
      </c>
      <c r="C154" t="s">
        <v>328</v>
      </c>
      <c r="D154" t="s">
        <v>19</v>
      </c>
      <c r="E154" t="s">
        <v>167</v>
      </c>
      <c r="F154" t="s">
        <v>100</v>
      </c>
      <c r="G154" s="2">
        <v>46030.371863425928</v>
      </c>
      <c r="H154" s="2">
        <v>46028.371527777781</v>
      </c>
      <c r="I154" t="s">
        <v>100</v>
      </c>
      <c r="K154" s="2">
        <f t="shared" si="7"/>
        <v>46033.371863425928</v>
      </c>
      <c r="L154" s="2">
        <v>46031.523888888885</v>
      </c>
      <c r="M154" t="s">
        <v>100</v>
      </c>
      <c r="N154" t="s">
        <v>332</v>
      </c>
      <c r="O154" t="s">
        <v>335</v>
      </c>
      <c r="P154" t="s">
        <v>106</v>
      </c>
      <c r="Q154" t="s">
        <v>336</v>
      </c>
      <c r="R154" t="s">
        <v>337</v>
      </c>
      <c r="S154" s="4">
        <f t="shared" ca="1" si="6"/>
        <v>82.628136574072414</v>
      </c>
    </row>
    <row r="155" spans="1:19" hidden="1" x14ac:dyDescent="0.35">
      <c r="A155">
        <v>106</v>
      </c>
      <c r="B155" t="s">
        <v>327</v>
      </c>
      <c r="C155" t="s">
        <v>328</v>
      </c>
      <c r="D155" t="s">
        <v>19</v>
      </c>
      <c r="E155" t="s">
        <v>167</v>
      </c>
      <c r="F155" t="s">
        <v>100</v>
      </c>
      <c r="G155" s="2">
        <v>46030.371863425928</v>
      </c>
      <c r="H155" s="2">
        <v>46028.371527777781</v>
      </c>
      <c r="I155" t="s">
        <v>100</v>
      </c>
      <c r="K155" s="2">
        <f t="shared" si="7"/>
        <v>46033.371863425928</v>
      </c>
      <c r="L155" s="2">
        <v>46076.308333333334</v>
      </c>
      <c r="M155" t="s">
        <v>100</v>
      </c>
      <c r="N155" t="s">
        <v>338</v>
      </c>
      <c r="O155" t="s">
        <v>338</v>
      </c>
      <c r="P155" t="s">
        <v>106</v>
      </c>
      <c r="Q155" t="s">
        <v>100</v>
      </c>
      <c r="R155" t="s">
        <v>339</v>
      </c>
      <c r="S155" s="4">
        <f t="shared" ca="1" si="6"/>
        <v>82.628136574072414</v>
      </c>
    </row>
    <row r="156" spans="1:19" hidden="1" x14ac:dyDescent="0.35">
      <c r="A156">
        <v>107</v>
      </c>
      <c r="B156" t="s">
        <v>340</v>
      </c>
      <c r="C156" t="s">
        <v>341</v>
      </c>
      <c r="D156" t="s">
        <v>58</v>
      </c>
      <c r="E156" t="s">
        <v>197</v>
      </c>
      <c r="F156" t="s">
        <v>500</v>
      </c>
      <c r="G156" s="2">
        <v>46083.532638888886</v>
      </c>
      <c r="I156" t="s">
        <v>500</v>
      </c>
      <c r="K156" s="2">
        <f t="shared" si="7"/>
        <v>46086.532638888886</v>
      </c>
      <c r="L156" s="2">
        <v>46030.681296296294</v>
      </c>
      <c r="M156" t="s">
        <v>100</v>
      </c>
      <c r="N156" t="s">
        <v>342</v>
      </c>
      <c r="O156" t="s">
        <v>343</v>
      </c>
      <c r="P156" t="s">
        <v>106</v>
      </c>
      <c r="Q156" t="s">
        <v>344</v>
      </c>
      <c r="S156" s="4"/>
    </row>
    <row r="157" spans="1:19" hidden="1" x14ac:dyDescent="0.35">
      <c r="A157">
        <v>107</v>
      </c>
      <c r="B157" t="s">
        <v>340</v>
      </c>
      <c r="C157" t="s">
        <v>341</v>
      </c>
      <c r="D157" t="s">
        <v>58</v>
      </c>
      <c r="E157" t="s">
        <v>197</v>
      </c>
      <c r="F157" t="s">
        <v>500</v>
      </c>
      <c r="G157" s="2">
        <v>46083.532638888886</v>
      </c>
      <c r="I157" t="s">
        <v>500</v>
      </c>
      <c r="K157" s="2">
        <f t="shared" si="7"/>
        <v>46086.532638888886</v>
      </c>
      <c r="L157" s="2">
        <v>46033.867581018516</v>
      </c>
      <c r="M157" t="s">
        <v>100</v>
      </c>
      <c r="N157" t="s">
        <v>345</v>
      </c>
      <c r="O157" t="s">
        <v>345</v>
      </c>
      <c r="P157" t="s">
        <v>106</v>
      </c>
      <c r="S157" s="4"/>
    </row>
    <row r="158" spans="1:19" hidden="1" x14ac:dyDescent="0.35">
      <c r="A158">
        <v>108</v>
      </c>
      <c r="B158" t="s">
        <v>346</v>
      </c>
      <c r="C158" t="s">
        <v>347</v>
      </c>
      <c r="D158" t="s">
        <v>58</v>
      </c>
      <c r="E158" t="s">
        <v>197</v>
      </c>
      <c r="F158" t="s">
        <v>500</v>
      </c>
      <c r="G158" s="2">
        <v>46083.532638888886</v>
      </c>
      <c r="H158" s="2">
        <v>46083.532638888886</v>
      </c>
      <c r="I158" t="s">
        <v>500</v>
      </c>
      <c r="K158" s="2">
        <f t="shared" si="7"/>
        <v>46086.532638888886</v>
      </c>
      <c r="L158" s="2">
        <v>46033.869884259257</v>
      </c>
      <c r="M158" t="s">
        <v>100</v>
      </c>
      <c r="N158" t="s">
        <v>348</v>
      </c>
      <c r="O158" t="s">
        <v>348</v>
      </c>
      <c r="P158" t="s">
        <v>106</v>
      </c>
      <c r="Q158" t="s">
        <v>100</v>
      </c>
      <c r="S158" s="4"/>
    </row>
    <row r="159" spans="1:19" hidden="1" x14ac:dyDescent="0.35">
      <c r="A159">
        <v>109</v>
      </c>
      <c r="B159" t="s">
        <v>349</v>
      </c>
      <c r="C159" t="s">
        <v>350</v>
      </c>
      <c r="D159" t="s">
        <v>58</v>
      </c>
      <c r="E159" t="s">
        <v>197</v>
      </c>
      <c r="F159" t="s">
        <v>500</v>
      </c>
      <c r="G159" s="2">
        <v>46083.532638888886</v>
      </c>
      <c r="I159" t="s">
        <v>500</v>
      </c>
      <c r="K159" s="2">
        <f t="shared" si="7"/>
        <v>46086.532638888886</v>
      </c>
      <c r="L159" s="2">
        <v>46033.889513888891</v>
      </c>
      <c r="M159" t="s">
        <v>100</v>
      </c>
      <c r="N159" t="s">
        <v>351</v>
      </c>
      <c r="O159" t="s">
        <v>351</v>
      </c>
      <c r="P159" t="s">
        <v>117</v>
      </c>
      <c r="Q159" t="s">
        <v>100</v>
      </c>
      <c r="S159" s="4"/>
    </row>
    <row r="160" spans="1:19" hidden="1" x14ac:dyDescent="0.35">
      <c r="A160">
        <v>111</v>
      </c>
      <c r="B160" t="s">
        <v>352</v>
      </c>
      <c r="C160" t="s">
        <v>353</v>
      </c>
      <c r="D160" t="s">
        <v>58</v>
      </c>
      <c r="E160" t="s">
        <v>197</v>
      </c>
      <c r="F160" t="s">
        <v>500</v>
      </c>
      <c r="G160" s="2">
        <v>46083.532638888886</v>
      </c>
      <c r="I160" t="s">
        <v>500</v>
      </c>
      <c r="K160" s="2">
        <f t="shared" si="7"/>
        <v>46086.532638888886</v>
      </c>
      <c r="L160" s="2">
        <v>46033.888958333337</v>
      </c>
      <c r="M160" t="s">
        <v>100</v>
      </c>
      <c r="N160" t="s">
        <v>351</v>
      </c>
      <c r="O160" t="s">
        <v>351</v>
      </c>
      <c r="P160" t="s">
        <v>117</v>
      </c>
      <c r="Q160" t="s">
        <v>100</v>
      </c>
      <c r="S160" s="4"/>
    </row>
    <row r="161" spans="1:19" hidden="1" x14ac:dyDescent="0.35">
      <c r="A161">
        <v>112</v>
      </c>
      <c r="B161" t="s">
        <v>354</v>
      </c>
      <c r="C161" t="s">
        <v>355</v>
      </c>
      <c r="D161" t="s">
        <v>58</v>
      </c>
      <c r="E161" t="s">
        <v>197</v>
      </c>
      <c r="F161" t="s">
        <v>500</v>
      </c>
      <c r="G161" s="6">
        <v>46083.532638888886</v>
      </c>
      <c r="I161" t="s">
        <v>500</v>
      </c>
      <c r="K161" s="2">
        <f t="shared" si="7"/>
        <v>46086.532638888886</v>
      </c>
      <c r="L161" s="2">
        <v>46033.88857638889</v>
      </c>
      <c r="M161" t="s">
        <v>100</v>
      </c>
      <c r="N161" t="s">
        <v>351</v>
      </c>
      <c r="O161" t="s">
        <v>351</v>
      </c>
      <c r="P161" t="s">
        <v>117</v>
      </c>
      <c r="Q161" t="s">
        <v>100</v>
      </c>
      <c r="S161" s="4"/>
    </row>
    <row r="162" spans="1:19" hidden="1" x14ac:dyDescent="0.35">
      <c r="A162">
        <v>113</v>
      </c>
      <c r="B162" t="s">
        <v>356</v>
      </c>
      <c r="C162" t="s">
        <v>357</v>
      </c>
      <c r="D162" t="s">
        <v>58</v>
      </c>
      <c r="E162" t="s">
        <v>197</v>
      </c>
      <c r="F162" t="s">
        <v>500</v>
      </c>
      <c r="G162" s="6">
        <v>46083.532638888886</v>
      </c>
      <c r="I162" t="s">
        <v>500</v>
      </c>
      <c r="K162" s="2">
        <f t="shared" si="7"/>
        <v>46086.532638888886</v>
      </c>
      <c r="L162" s="2">
        <v>46033.888101851851</v>
      </c>
      <c r="M162" t="s">
        <v>100</v>
      </c>
      <c r="N162" t="s">
        <v>351</v>
      </c>
      <c r="O162" t="s">
        <v>351</v>
      </c>
      <c r="P162" t="s">
        <v>117</v>
      </c>
      <c r="Q162" t="s">
        <v>100</v>
      </c>
      <c r="S162" s="4"/>
    </row>
    <row r="163" spans="1:19" hidden="1" x14ac:dyDescent="0.35">
      <c r="A163">
        <v>114</v>
      </c>
      <c r="B163" t="s">
        <v>358</v>
      </c>
      <c r="C163" t="s">
        <v>358</v>
      </c>
      <c r="D163" t="s">
        <v>19</v>
      </c>
      <c r="E163" t="s">
        <v>20</v>
      </c>
      <c r="F163" t="s">
        <v>100</v>
      </c>
      <c r="G163" s="2">
        <v>46031.527337962965</v>
      </c>
      <c r="H163" s="2">
        <v>46038.527083333334</v>
      </c>
      <c r="I163" t="s">
        <v>100</v>
      </c>
      <c r="K163" s="2">
        <f t="shared" si="7"/>
        <v>46034.527337962965</v>
      </c>
      <c r="L163" s="2">
        <v>46031.527870370373</v>
      </c>
      <c r="M163" t="s">
        <v>100</v>
      </c>
      <c r="N163" t="s">
        <v>358</v>
      </c>
      <c r="O163" t="s">
        <v>359</v>
      </c>
      <c r="P163" t="s">
        <v>106</v>
      </c>
      <c r="Q163" t="s">
        <v>240</v>
      </c>
      <c r="R163" t="s">
        <v>360</v>
      </c>
      <c r="S163" s="4">
        <f t="shared" ca="1" si="6"/>
        <v>81.472662037034752</v>
      </c>
    </row>
    <row r="164" spans="1:19" hidden="1" x14ac:dyDescent="0.35">
      <c r="A164">
        <v>115</v>
      </c>
      <c r="B164" t="s">
        <v>361</v>
      </c>
      <c r="C164" t="s">
        <v>361</v>
      </c>
      <c r="D164" t="s">
        <v>19</v>
      </c>
      <c r="E164" t="s">
        <v>20</v>
      </c>
      <c r="F164" t="s">
        <v>100</v>
      </c>
      <c r="G164" s="2">
        <v>46033.896770833337</v>
      </c>
      <c r="H164" s="2">
        <v>46034.896527777775</v>
      </c>
      <c r="I164" t="s">
        <v>100</v>
      </c>
      <c r="K164" s="2">
        <f t="shared" si="7"/>
        <v>46036.896770833337</v>
      </c>
      <c r="L164" s="2">
        <v>46033.901747685188</v>
      </c>
      <c r="M164" t="s">
        <v>100</v>
      </c>
      <c r="N164" t="s">
        <v>362</v>
      </c>
      <c r="O164" t="s">
        <v>362</v>
      </c>
      <c r="P164" t="s">
        <v>106</v>
      </c>
      <c r="Q164" t="s">
        <v>363</v>
      </c>
      <c r="R164" t="s">
        <v>364</v>
      </c>
      <c r="S164" s="4">
        <f t="shared" ca="1" si="6"/>
        <v>79.103229166663368</v>
      </c>
    </row>
    <row r="165" spans="1:19" hidden="1" x14ac:dyDescent="0.35">
      <c r="A165">
        <v>116</v>
      </c>
      <c r="B165" t="s">
        <v>365</v>
      </c>
      <c r="C165" t="s">
        <v>366</v>
      </c>
      <c r="D165" t="s">
        <v>19</v>
      </c>
      <c r="E165" t="s">
        <v>167</v>
      </c>
      <c r="F165" t="s">
        <v>100</v>
      </c>
      <c r="G165" s="2">
        <v>46033.915520833332</v>
      </c>
      <c r="H165" s="2">
        <v>46029.915277777778</v>
      </c>
      <c r="I165" t="s">
        <v>100</v>
      </c>
      <c r="K165" s="2">
        <f t="shared" si="7"/>
        <v>46036.915520833332</v>
      </c>
      <c r="L165" s="2">
        <v>46033.916527777779</v>
      </c>
      <c r="M165" t="s">
        <v>100</v>
      </c>
      <c r="N165" t="s">
        <v>367</v>
      </c>
      <c r="O165" t="s">
        <v>368</v>
      </c>
      <c r="P165" t="s">
        <v>106</v>
      </c>
      <c r="Q165" t="s">
        <v>100</v>
      </c>
      <c r="R165" t="s">
        <v>369</v>
      </c>
      <c r="S165" s="4">
        <f t="shared" ca="1" si="6"/>
        <v>79.084479166667734</v>
      </c>
    </row>
    <row r="166" spans="1:19" hidden="1" x14ac:dyDescent="0.35">
      <c r="A166">
        <v>116</v>
      </c>
      <c r="B166" t="s">
        <v>365</v>
      </c>
      <c r="C166" t="s">
        <v>366</v>
      </c>
      <c r="D166" t="s">
        <v>19</v>
      </c>
      <c r="E166" t="s">
        <v>167</v>
      </c>
      <c r="F166" t="s">
        <v>100</v>
      </c>
      <c r="G166" s="2">
        <v>46033.915520833332</v>
      </c>
      <c r="H166" s="2">
        <v>46029.915277777778</v>
      </c>
      <c r="I166" t="s">
        <v>100</v>
      </c>
      <c r="K166" s="2">
        <f t="shared" si="7"/>
        <v>46036.915520833332</v>
      </c>
      <c r="L166" s="2">
        <v>46042.430162037039</v>
      </c>
      <c r="M166" t="s">
        <v>100</v>
      </c>
      <c r="N166" t="s">
        <v>370</v>
      </c>
      <c r="O166" t="s">
        <v>371</v>
      </c>
      <c r="P166" t="s">
        <v>170</v>
      </c>
      <c r="Q166" t="s">
        <v>96</v>
      </c>
      <c r="R166" t="s">
        <v>372</v>
      </c>
      <c r="S166" s="4">
        <f t="shared" ca="1" si="6"/>
        <v>79.084479166667734</v>
      </c>
    </row>
    <row r="167" spans="1:19" hidden="1" x14ac:dyDescent="0.35">
      <c r="A167">
        <v>116</v>
      </c>
      <c r="B167" t="s">
        <v>365</v>
      </c>
      <c r="C167" t="s">
        <v>366</v>
      </c>
      <c r="D167" t="s">
        <v>19</v>
      </c>
      <c r="E167" t="s">
        <v>167</v>
      </c>
      <c r="F167" t="s">
        <v>100</v>
      </c>
      <c r="G167" s="2">
        <v>46033.915520833332</v>
      </c>
      <c r="H167" s="2">
        <v>46029.915277777778</v>
      </c>
      <c r="I167" t="s">
        <v>100</v>
      </c>
      <c r="K167" s="2">
        <f t="shared" si="7"/>
        <v>46036.915520833332</v>
      </c>
      <c r="L167" s="2">
        <v>46042.431018518517</v>
      </c>
      <c r="M167" t="s">
        <v>100</v>
      </c>
      <c r="N167" t="s">
        <v>373</v>
      </c>
      <c r="O167" t="s">
        <v>374</v>
      </c>
      <c r="P167" t="s">
        <v>106</v>
      </c>
      <c r="Q167" t="s">
        <v>277</v>
      </c>
      <c r="R167" t="s">
        <v>375</v>
      </c>
      <c r="S167" s="4">
        <f t="shared" ca="1" si="6"/>
        <v>79.084479166667734</v>
      </c>
    </row>
    <row r="168" spans="1:19" hidden="1" x14ac:dyDescent="0.35">
      <c r="A168">
        <v>116</v>
      </c>
      <c r="B168" t="s">
        <v>365</v>
      </c>
      <c r="C168" t="s">
        <v>366</v>
      </c>
      <c r="D168" t="s">
        <v>19</v>
      </c>
      <c r="E168" t="s">
        <v>167</v>
      </c>
      <c r="F168" t="s">
        <v>100</v>
      </c>
      <c r="G168" s="2">
        <v>46033.915520833332</v>
      </c>
      <c r="H168" s="2">
        <v>46029.915277777778</v>
      </c>
      <c r="I168" t="s">
        <v>100</v>
      </c>
      <c r="K168" s="2">
        <f t="shared" si="7"/>
        <v>46036.915520833332</v>
      </c>
      <c r="L168" s="2">
        <v>46042.432141203702</v>
      </c>
      <c r="M168" t="s">
        <v>100</v>
      </c>
      <c r="N168" t="s">
        <v>376</v>
      </c>
      <c r="O168" t="s">
        <v>377</v>
      </c>
      <c r="P168" t="s">
        <v>170</v>
      </c>
      <c r="Q168" t="s">
        <v>230</v>
      </c>
      <c r="R168" t="s">
        <v>378</v>
      </c>
      <c r="S168" s="4">
        <f t="shared" ca="1" si="6"/>
        <v>79.084479166667734</v>
      </c>
    </row>
    <row r="169" spans="1:19" hidden="1" x14ac:dyDescent="0.35">
      <c r="A169">
        <v>116</v>
      </c>
      <c r="B169" t="s">
        <v>365</v>
      </c>
      <c r="C169" t="s">
        <v>366</v>
      </c>
      <c r="D169" t="s">
        <v>19</v>
      </c>
      <c r="E169" t="s">
        <v>167</v>
      </c>
      <c r="F169" t="s">
        <v>100</v>
      </c>
      <c r="G169" s="2">
        <v>46033.915520833332</v>
      </c>
      <c r="H169" s="2">
        <v>46029.915277777778</v>
      </c>
      <c r="I169" t="s">
        <v>100</v>
      </c>
      <c r="K169" s="2">
        <f t="shared" si="7"/>
        <v>46036.915520833332</v>
      </c>
      <c r="L169" s="2">
        <v>46042.432650462964</v>
      </c>
      <c r="M169" t="s">
        <v>100</v>
      </c>
      <c r="N169" t="s">
        <v>379</v>
      </c>
      <c r="O169" t="s">
        <v>380</v>
      </c>
      <c r="P169" t="s">
        <v>170</v>
      </c>
      <c r="Q169" t="s">
        <v>381</v>
      </c>
      <c r="R169" t="s">
        <v>378</v>
      </c>
      <c r="S169" s="4">
        <f t="shared" ca="1" si="6"/>
        <v>79.084479166667734</v>
      </c>
    </row>
    <row r="170" spans="1:19" hidden="1" x14ac:dyDescent="0.35">
      <c r="A170">
        <v>117</v>
      </c>
      <c r="B170" t="s">
        <v>382</v>
      </c>
      <c r="C170" t="s">
        <v>383</v>
      </c>
      <c r="D170" t="s">
        <v>19</v>
      </c>
      <c r="E170" t="s">
        <v>20</v>
      </c>
      <c r="F170" t="s">
        <v>100</v>
      </c>
      <c r="G170" s="2">
        <v>46064.917222222219</v>
      </c>
      <c r="H170" s="2">
        <v>46035.916666666664</v>
      </c>
      <c r="I170" t="s">
        <v>100</v>
      </c>
      <c r="K170" s="2">
        <f t="shared" si="7"/>
        <v>46067.917222222219</v>
      </c>
      <c r="L170" s="2">
        <v>46033.919930555552</v>
      </c>
      <c r="M170" t="s">
        <v>100</v>
      </c>
      <c r="N170" t="s">
        <v>384</v>
      </c>
      <c r="P170" t="s">
        <v>106</v>
      </c>
      <c r="R170" t="s">
        <v>385</v>
      </c>
      <c r="S170" s="4">
        <f t="shared" ca="1" si="6"/>
        <v>48.082777777781303</v>
      </c>
    </row>
    <row r="171" spans="1:19" hidden="1" x14ac:dyDescent="0.35">
      <c r="A171">
        <v>118</v>
      </c>
      <c r="B171" t="s">
        <v>103</v>
      </c>
      <c r="C171" t="s">
        <v>103</v>
      </c>
      <c r="D171" t="s">
        <v>19</v>
      </c>
      <c r="E171" t="s">
        <v>20</v>
      </c>
      <c r="F171" t="s">
        <v>100</v>
      </c>
      <c r="G171" s="2">
        <v>46064.917615740742</v>
      </c>
      <c r="H171" s="2">
        <v>46044.919444444444</v>
      </c>
      <c r="I171" t="s">
        <v>100</v>
      </c>
      <c r="K171" s="2">
        <f t="shared" si="7"/>
        <v>46067.917615740742</v>
      </c>
      <c r="L171" s="2">
        <v>46033.919189814813</v>
      </c>
      <c r="M171" t="s">
        <v>100</v>
      </c>
      <c r="N171" t="s">
        <v>386</v>
      </c>
      <c r="O171" t="s">
        <v>387</v>
      </c>
      <c r="P171" t="s">
        <v>106</v>
      </c>
      <c r="Q171" t="s">
        <v>388</v>
      </c>
      <c r="R171" t="s">
        <v>389</v>
      </c>
      <c r="S171" s="4">
        <f t="shared" ca="1" si="6"/>
        <v>48.082384259258106</v>
      </c>
    </row>
    <row r="172" spans="1:19" hidden="1" x14ac:dyDescent="0.35">
      <c r="A172">
        <v>118</v>
      </c>
      <c r="B172" t="s">
        <v>103</v>
      </c>
      <c r="C172" t="s">
        <v>103</v>
      </c>
      <c r="D172" t="s">
        <v>19</v>
      </c>
      <c r="E172" t="s">
        <v>20</v>
      </c>
      <c r="F172" t="s">
        <v>100</v>
      </c>
      <c r="G172" s="2">
        <v>46064.917615740742</v>
      </c>
      <c r="H172" s="2">
        <v>46044.919444444444</v>
      </c>
      <c r="I172" t="s">
        <v>100</v>
      </c>
      <c r="K172" s="2">
        <f t="shared" si="7"/>
        <v>46067.917615740742</v>
      </c>
      <c r="L172" s="2">
        <v>46034.912303240744</v>
      </c>
      <c r="M172" t="s">
        <v>100</v>
      </c>
      <c r="N172" t="s">
        <v>390</v>
      </c>
      <c r="O172" t="s">
        <v>391</v>
      </c>
      <c r="P172" t="s">
        <v>170</v>
      </c>
      <c r="Q172" t="s">
        <v>388</v>
      </c>
      <c r="R172" t="s">
        <v>392</v>
      </c>
      <c r="S172" s="4">
        <f t="shared" ca="1" si="6"/>
        <v>48.082384259258106</v>
      </c>
    </row>
    <row r="173" spans="1:19" hidden="1" x14ac:dyDescent="0.35">
      <c r="A173">
        <v>118</v>
      </c>
      <c r="B173" t="s">
        <v>103</v>
      </c>
      <c r="C173" t="s">
        <v>103</v>
      </c>
      <c r="D173" t="s">
        <v>19</v>
      </c>
      <c r="E173" t="s">
        <v>20</v>
      </c>
      <c r="F173" t="s">
        <v>100</v>
      </c>
      <c r="G173" s="2">
        <v>46064.917615740742</v>
      </c>
      <c r="H173" s="2">
        <v>46044.919444444444</v>
      </c>
      <c r="I173" t="s">
        <v>100</v>
      </c>
      <c r="K173" s="2">
        <f t="shared" si="7"/>
        <v>46067.917615740742</v>
      </c>
      <c r="L173" s="2">
        <v>46034.913761574076</v>
      </c>
      <c r="M173" t="s">
        <v>100</v>
      </c>
      <c r="N173" t="s">
        <v>393</v>
      </c>
      <c r="O173" t="s">
        <v>394</v>
      </c>
      <c r="P173" t="s">
        <v>106</v>
      </c>
      <c r="Q173" t="s">
        <v>388</v>
      </c>
      <c r="R173" t="s">
        <v>395</v>
      </c>
      <c r="S173" s="4">
        <f t="shared" ca="1" si="6"/>
        <v>48.082384259258106</v>
      </c>
    </row>
    <row r="174" spans="1:19" hidden="1" x14ac:dyDescent="0.35">
      <c r="A174">
        <v>119</v>
      </c>
      <c r="B174" t="s">
        <v>396</v>
      </c>
      <c r="C174" t="s">
        <v>396</v>
      </c>
      <c r="D174" t="s">
        <v>19</v>
      </c>
      <c r="E174" t="s">
        <v>20</v>
      </c>
      <c r="F174" t="s">
        <v>100</v>
      </c>
      <c r="G174" s="2">
        <v>46033.921087962961</v>
      </c>
      <c r="H174" s="2">
        <v>46044.920138888891</v>
      </c>
      <c r="I174" t="s">
        <v>100</v>
      </c>
      <c r="K174" s="2">
        <f t="shared" si="7"/>
        <v>46036.921087962961</v>
      </c>
      <c r="L174" s="2">
        <v>46033.923958333333</v>
      </c>
      <c r="M174" t="s">
        <v>100</v>
      </c>
      <c r="N174" t="s">
        <v>397</v>
      </c>
      <c r="O174" t="s">
        <v>398</v>
      </c>
      <c r="P174" t="s">
        <v>106</v>
      </c>
      <c r="Q174" t="s">
        <v>100</v>
      </c>
      <c r="R174" t="s">
        <v>399</v>
      </c>
      <c r="S174" s="4">
        <f t="shared" ca="1" si="6"/>
        <v>79.078912037039117</v>
      </c>
    </row>
    <row r="175" spans="1:19" hidden="1" x14ac:dyDescent="0.35">
      <c r="A175">
        <v>120</v>
      </c>
      <c r="B175" t="s">
        <v>400</v>
      </c>
      <c r="C175" t="s">
        <v>400</v>
      </c>
      <c r="D175" t="s">
        <v>19</v>
      </c>
      <c r="E175" t="s">
        <v>197</v>
      </c>
      <c r="F175" t="s">
        <v>100</v>
      </c>
      <c r="G175" s="2">
        <v>46033.921863425923</v>
      </c>
      <c r="H175" s="2">
        <v>46031.927083333336</v>
      </c>
      <c r="I175" t="s">
        <v>100</v>
      </c>
      <c r="K175" s="2">
        <f t="shared" si="7"/>
        <v>46036.921863425923</v>
      </c>
      <c r="L175" s="2">
        <v>46042.622604166667</v>
      </c>
      <c r="M175" t="s">
        <v>100</v>
      </c>
      <c r="N175" t="s">
        <v>401</v>
      </c>
      <c r="O175" t="s">
        <v>402</v>
      </c>
      <c r="P175" t="s">
        <v>117</v>
      </c>
      <c r="Q175" t="s">
        <v>403</v>
      </c>
      <c r="R175" t="s">
        <v>404</v>
      </c>
      <c r="S175" s="4">
        <f t="shared" ca="1" si="6"/>
        <v>79.07813657407678</v>
      </c>
    </row>
    <row r="176" spans="1:19" hidden="1" x14ac:dyDescent="0.35">
      <c r="A176">
        <v>122</v>
      </c>
      <c r="B176" t="s">
        <v>405</v>
      </c>
      <c r="C176" t="s">
        <v>406</v>
      </c>
      <c r="D176" t="s">
        <v>19</v>
      </c>
      <c r="E176" t="s">
        <v>20</v>
      </c>
      <c r="F176" t="s">
        <v>100</v>
      </c>
      <c r="G176" s="2">
        <v>46033.926539351851</v>
      </c>
      <c r="H176" s="2">
        <v>46030.927083333336</v>
      </c>
      <c r="I176" t="s">
        <v>100</v>
      </c>
      <c r="K176" s="2">
        <f t="shared" si="7"/>
        <v>46036.926539351851</v>
      </c>
      <c r="L176" s="2">
        <v>46033.927071759259</v>
      </c>
      <c r="M176" t="s">
        <v>100</v>
      </c>
      <c r="N176" t="s">
        <v>407</v>
      </c>
      <c r="O176" t="s">
        <v>407</v>
      </c>
      <c r="P176" t="s">
        <v>106</v>
      </c>
      <c r="Q176" t="s">
        <v>100</v>
      </c>
      <c r="R176" t="s">
        <v>408</v>
      </c>
      <c r="S176" s="4">
        <f t="shared" ca="1" si="6"/>
        <v>79.073460648149194</v>
      </c>
    </row>
    <row r="177" spans="1:19" hidden="1" x14ac:dyDescent="0.35">
      <c r="A177">
        <v>123</v>
      </c>
      <c r="B177" t="s">
        <v>409</v>
      </c>
      <c r="C177" t="s">
        <v>410</v>
      </c>
      <c r="D177" t="s">
        <v>19</v>
      </c>
      <c r="E177" t="s">
        <v>20</v>
      </c>
      <c r="F177" t="s">
        <v>100</v>
      </c>
      <c r="G177" s="2">
        <v>46093.920023148145</v>
      </c>
      <c r="H177" s="2">
        <v>46043.919444444444</v>
      </c>
      <c r="I177" t="s">
        <v>100</v>
      </c>
      <c r="K177" s="2">
        <f t="shared" si="7"/>
        <v>46096.920023148145</v>
      </c>
      <c r="L177" s="2">
        <v>46034.921307870369</v>
      </c>
      <c r="M177" t="s">
        <v>100</v>
      </c>
      <c r="N177" t="s">
        <v>411</v>
      </c>
      <c r="O177" t="s">
        <v>411</v>
      </c>
      <c r="P177" t="s">
        <v>106</v>
      </c>
      <c r="Q177" t="s">
        <v>100</v>
      </c>
      <c r="R177" t="s">
        <v>412</v>
      </c>
      <c r="S177" s="4">
        <f t="shared" ca="1" si="6"/>
        <v>19.079976851855463</v>
      </c>
    </row>
    <row r="178" spans="1:19" hidden="1" x14ac:dyDescent="0.35">
      <c r="A178">
        <v>123</v>
      </c>
      <c r="B178" t="s">
        <v>409</v>
      </c>
      <c r="C178" t="s">
        <v>410</v>
      </c>
      <c r="D178" t="s">
        <v>19</v>
      </c>
      <c r="E178" t="s">
        <v>20</v>
      </c>
      <c r="F178" t="s">
        <v>100</v>
      </c>
      <c r="G178" s="2">
        <v>46065.920023148145</v>
      </c>
      <c r="H178" s="2">
        <v>46043.919444444444</v>
      </c>
      <c r="I178" t="s">
        <v>100</v>
      </c>
      <c r="K178" s="2">
        <f t="shared" si="7"/>
        <v>46068.920023148145</v>
      </c>
      <c r="L178" s="2">
        <v>46034.921759259261</v>
      </c>
      <c r="M178" t="s">
        <v>100</v>
      </c>
      <c r="N178" t="s">
        <v>413</v>
      </c>
      <c r="O178" t="s">
        <v>414</v>
      </c>
      <c r="P178" t="s">
        <v>106</v>
      </c>
      <c r="Q178" t="s">
        <v>100</v>
      </c>
      <c r="R178" t="s">
        <v>415</v>
      </c>
      <c r="S178" s="4">
        <f t="shared" ca="1" si="6"/>
        <v>47.079976851855463</v>
      </c>
    </row>
    <row r="179" spans="1:19" hidden="1" x14ac:dyDescent="0.35">
      <c r="A179">
        <v>123</v>
      </c>
      <c r="B179" t="s">
        <v>409</v>
      </c>
      <c r="C179" t="s">
        <v>410</v>
      </c>
      <c r="D179" t="s">
        <v>19</v>
      </c>
      <c r="E179" t="s">
        <v>20</v>
      </c>
      <c r="F179" t="s">
        <v>100</v>
      </c>
      <c r="G179" s="2">
        <v>46034.920023148145</v>
      </c>
      <c r="H179" s="2">
        <v>46043.919444444444</v>
      </c>
      <c r="I179" t="s">
        <v>100</v>
      </c>
      <c r="K179" s="2">
        <f t="shared" si="7"/>
        <v>46037.920023148145</v>
      </c>
      <c r="L179" s="2">
        <v>46034.922476851854</v>
      </c>
      <c r="M179" t="s">
        <v>100</v>
      </c>
      <c r="N179" t="s">
        <v>416</v>
      </c>
      <c r="O179" t="s">
        <v>417</v>
      </c>
      <c r="P179" t="s">
        <v>106</v>
      </c>
      <c r="Q179" t="s">
        <v>100</v>
      </c>
      <c r="R179" t="s">
        <v>418</v>
      </c>
      <c r="S179" s="4">
        <f t="shared" ca="1" si="6"/>
        <v>78.079976851855463</v>
      </c>
    </row>
    <row r="180" spans="1:19" hidden="1" x14ac:dyDescent="0.35">
      <c r="A180">
        <v>124</v>
      </c>
      <c r="B180" t="s">
        <v>419</v>
      </c>
      <c r="C180" t="s">
        <v>420</v>
      </c>
      <c r="D180" t="s">
        <v>27</v>
      </c>
      <c r="E180" t="s">
        <v>197</v>
      </c>
      <c r="F180" t="s">
        <v>100</v>
      </c>
      <c r="G180" s="2">
        <v>46093.92423611111</v>
      </c>
      <c r="H180" s="2">
        <v>46115</v>
      </c>
      <c r="I180" t="s">
        <v>100</v>
      </c>
      <c r="J180" t="s">
        <v>30</v>
      </c>
      <c r="K180" s="2">
        <v>46115</v>
      </c>
      <c r="L180" s="2">
        <v>46076.298541666663</v>
      </c>
      <c r="N180" t="s">
        <v>421</v>
      </c>
      <c r="O180" t="s">
        <v>421</v>
      </c>
      <c r="P180" t="s">
        <v>106</v>
      </c>
      <c r="Q180" t="s">
        <v>100</v>
      </c>
      <c r="R180" s="2">
        <v>46117</v>
      </c>
      <c r="S180" s="4">
        <f t="shared" ca="1" si="6"/>
        <v>19.075763888889924</v>
      </c>
    </row>
    <row r="181" spans="1:19" hidden="1" x14ac:dyDescent="0.35">
      <c r="A181">
        <v>124</v>
      </c>
      <c r="B181" t="s">
        <v>419</v>
      </c>
      <c r="C181" t="s">
        <v>420</v>
      </c>
      <c r="D181" t="s">
        <v>27</v>
      </c>
      <c r="E181" t="s">
        <v>197</v>
      </c>
      <c r="F181" t="s">
        <v>100</v>
      </c>
      <c r="G181" s="2">
        <v>46107.820127314815</v>
      </c>
      <c r="H181" s="2">
        <v>46115</v>
      </c>
      <c r="I181" t="s">
        <v>100</v>
      </c>
      <c r="J181" t="s">
        <v>30</v>
      </c>
      <c r="K181" s="2">
        <v>46115</v>
      </c>
      <c r="L181" s="2">
        <v>46034.925254629627</v>
      </c>
      <c r="M181" t="s">
        <v>100</v>
      </c>
      <c r="N181" t="s">
        <v>422</v>
      </c>
      <c r="O181" t="s">
        <v>423</v>
      </c>
      <c r="P181" t="s">
        <v>117</v>
      </c>
      <c r="Q181" t="s">
        <v>100</v>
      </c>
      <c r="R181" s="2">
        <v>46117</v>
      </c>
      <c r="S181" s="4">
        <f t="shared" ca="1" si="6"/>
        <v>5.1798726851848187</v>
      </c>
    </row>
    <row r="182" spans="1:19" hidden="1" x14ac:dyDescent="0.35">
      <c r="A182">
        <v>124</v>
      </c>
      <c r="B182" t="s">
        <v>419</v>
      </c>
      <c r="C182" t="s">
        <v>420</v>
      </c>
      <c r="D182" t="s">
        <v>27</v>
      </c>
      <c r="E182" t="s">
        <v>197</v>
      </c>
      <c r="F182" t="s">
        <v>100</v>
      </c>
      <c r="G182" s="2">
        <v>46105.820127314815</v>
      </c>
      <c r="H182" s="2">
        <v>46115</v>
      </c>
      <c r="I182" t="s">
        <v>100</v>
      </c>
      <c r="J182" t="s">
        <v>30</v>
      </c>
      <c r="K182" s="2">
        <v>46115</v>
      </c>
      <c r="L182" s="2">
        <v>46034.925821759258</v>
      </c>
      <c r="M182" t="s">
        <v>100</v>
      </c>
      <c r="N182" t="s">
        <v>424</v>
      </c>
      <c r="O182" t="s">
        <v>424</v>
      </c>
      <c r="P182" t="s">
        <v>117</v>
      </c>
      <c r="Q182" t="s">
        <v>100</v>
      </c>
      <c r="R182" s="2">
        <v>46117</v>
      </c>
      <c r="S182" s="4">
        <f t="shared" ca="1" si="6"/>
        <v>7.1798726851848187</v>
      </c>
    </row>
    <row r="183" spans="1:19" hidden="1" x14ac:dyDescent="0.35">
      <c r="A183">
        <v>124</v>
      </c>
      <c r="B183" t="s">
        <v>419</v>
      </c>
      <c r="C183" t="s">
        <v>420</v>
      </c>
      <c r="D183" t="s">
        <v>27</v>
      </c>
      <c r="E183" t="s">
        <v>197</v>
      </c>
      <c r="F183" t="s">
        <v>100</v>
      </c>
      <c r="G183" s="2">
        <v>46105.820127314815</v>
      </c>
      <c r="H183" s="2">
        <v>46115</v>
      </c>
      <c r="I183" t="s">
        <v>100</v>
      </c>
      <c r="J183" t="s">
        <v>30</v>
      </c>
      <c r="K183" s="2">
        <v>46115</v>
      </c>
      <c r="L183" s="2">
        <v>46034.926261574074</v>
      </c>
      <c r="M183" t="s">
        <v>100</v>
      </c>
      <c r="N183" t="s">
        <v>425</v>
      </c>
      <c r="O183" t="s">
        <v>425</v>
      </c>
      <c r="P183" t="s">
        <v>117</v>
      </c>
      <c r="Q183" t="s">
        <v>100</v>
      </c>
      <c r="R183" s="2">
        <v>46115</v>
      </c>
      <c r="S183" s="4">
        <f t="shared" ca="1" si="6"/>
        <v>7.1798726851848187</v>
      </c>
    </row>
    <row r="184" spans="1:19" hidden="1" x14ac:dyDescent="0.35">
      <c r="A184">
        <v>124</v>
      </c>
      <c r="B184" t="s">
        <v>419</v>
      </c>
      <c r="C184" t="s">
        <v>420</v>
      </c>
      <c r="D184" t="s">
        <v>27</v>
      </c>
      <c r="E184" t="s">
        <v>197</v>
      </c>
      <c r="F184" t="s">
        <v>100</v>
      </c>
      <c r="G184" s="2">
        <v>46105.820127314815</v>
      </c>
      <c r="H184" s="2">
        <v>46115</v>
      </c>
      <c r="I184" t="s">
        <v>100</v>
      </c>
      <c r="J184" t="s">
        <v>30</v>
      </c>
      <c r="K184" s="2">
        <v>46115</v>
      </c>
      <c r="L184" s="2">
        <v>46034.926666666666</v>
      </c>
      <c r="M184" t="s">
        <v>100</v>
      </c>
      <c r="N184" t="s">
        <v>426</v>
      </c>
      <c r="O184" t="s">
        <v>426</v>
      </c>
      <c r="P184" t="s">
        <v>117</v>
      </c>
      <c r="Q184" t="s">
        <v>100</v>
      </c>
      <c r="R184" s="2">
        <v>46118</v>
      </c>
      <c r="S184" s="4">
        <f t="shared" ca="1" si="6"/>
        <v>7.1798726851848187</v>
      </c>
    </row>
    <row r="185" spans="1:19" hidden="1" x14ac:dyDescent="0.35">
      <c r="A185">
        <v>124</v>
      </c>
      <c r="B185" t="s">
        <v>419</v>
      </c>
      <c r="C185" t="s">
        <v>420</v>
      </c>
      <c r="D185" t="s">
        <v>27</v>
      </c>
      <c r="E185" t="s">
        <v>197</v>
      </c>
      <c r="F185" t="s">
        <v>100</v>
      </c>
      <c r="G185" s="2">
        <v>46106.820127314815</v>
      </c>
      <c r="H185" s="2">
        <v>46115</v>
      </c>
      <c r="I185" t="s">
        <v>100</v>
      </c>
      <c r="J185" t="s">
        <v>30</v>
      </c>
      <c r="K185" s="2">
        <v>46115</v>
      </c>
      <c r="L185" s="2">
        <v>46034.926689814813</v>
      </c>
      <c r="M185" t="s">
        <v>100</v>
      </c>
      <c r="N185" t="s">
        <v>426</v>
      </c>
      <c r="O185" t="s">
        <v>426</v>
      </c>
      <c r="P185" t="s">
        <v>117</v>
      </c>
      <c r="Q185" t="s">
        <v>100</v>
      </c>
      <c r="R185" s="2">
        <v>46115</v>
      </c>
      <c r="S185" s="4">
        <f t="shared" ca="1" si="6"/>
        <v>6.1798726851848187</v>
      </c>
    </row>
    <row r="186" spans="1:19" hidden="1" x14ac:dyDescent="0.35">
      <c r="A186">
        <v>125</v>
      </c>
      <c r="B186" t="s">
        <v>294</v>
      </c>
      <c r="D186" t="s">
        <v>19</v>
      </c>
      <c r="E186" t="s">
        <v>20</v>
      </c>
      <c r="F186" t="s">
        <v>24</v>
      </c>
      <c r="G186" s="2">
        <v>46036.838379629633</v>
      </c>
      <c r="H186" s="2">
        <v>46036.993055555555</v>
      </c>
      <c r="I186" t="s">
        <v>24</v>
      </c>
      <c r="J186" t="s">
        <v>25</v>
      </c>
      <c r="K186" s="2">
        <f t="shared" si="7"/>
        <v>46039.838379629633</v>
      </c>
      <c r="S186" s="4">
        <f t="shared" ca="1" si="6"/>
        <v>76.161620370367018</v>
      </c>
    </row>
    <row r="187" spans="1:19" hidden="1" x14ac:dyDescent="0.35">
      <c r="A187">
        <v>126</v>
      </c>
      <c r="B187" t="s">
        <v>427</v>
      </c>
      <c r="C187" t="s">
        <v>427</v>
      </c>
      <c r="D187" t="s">
        <v>27</v>
      </c>
      <c r="E187" t="s">
        <v>197</v>
      </c>
      <c r="F187" t="s">
        <v>100</v>
      </c>
      <c r="G187" s="2">
        <v>46107.820127314815</v>
      </c>
      <c r="H187" s="2">
        <v>46115</v>
      </c>
      <c r="I187" t="s">
        <v>100</v>
      </c>
      <c r="J187" t="s">
        <v>30</v>
      </c>
      <c r="K187" s="2">
        <v>46115</v>
      </c>
      <c r="L187" s="2">
        <v>46037.414733796293</v>
      </c>
      <c r="M187" t="s">
        <v>100</v>
      </c>
      <c r="N187" t="s">
        <v>428</v>
      </c>
      <c r="O187" t="s">
        <v>429</v>
      </c>
      <c r="P187" t="s">
        <v>106</v>
      </c>
      <c r="Q187" t="s">
        <v>430</v>
      </c>
      <c r="R187" s="2">
        <v>46115</v>
      </c>
      <c r="S187" s="4">
        <f t="shared" ca="1" si="6"/>
        <v>5.1798726851848187</v>
      </c>
    </row>
    <row r="188" spans="1:19" hidden="1" x14ac:dyDescent="0.35">
      <c r="A188">
        <v>126</v>
      </c>
      <c r="B188" t="s">
        <v>427</v>
      </c>
      <c r="C188" t="s">
        <v>427</v>
      </c>
      <c r="D188" t="s">
        <v>27</v>
      </c>
      <c r="E188" t="s">
        <v>197</v>
      </c>
      <c r="F188" t="s">
        <v>100</v>
      </c>
      <c r="G188" s="2">
        <v>46107.820127314815</v>
      </c>
      <c r="H188" s="2">
        <v>46115</v>
      </c>
      <c r="I188" t="s">
        <v>100</v>
      </c>
      <c r="J188" t="s">
        <v>30</v>
      </c>
      <c r="K188" s="2">
        <v>46115</v>
      </c>
      <c r="L188" s="2">
        <v>46037.415092592593</v>
      </c>
      <c r="M188" t="s">
        <v>100</v>
      </c>
      <c r="N188" t="s">
        <v>428</v>
      </c>
      <c r="O188" t="s">
        <v>431</v>
      </c>
      <c r="P188" t="s">
        <v>106</v>
      </c>
      <c r="Q188" t="s">
        <v>178</v>
      </c>
      <c r="R188" s="2">
        <v>46116</v>
      </c>
      <c r="S188" s="4">
        <f t="shared" ca="1" si="6"/>
        <v>5.1798726851848187</v>
      </c>
    </row>
    <row r="189" spans="1:19" hidden="1" x14ac:dyDescent="0.35">
      <c r="A189">
        <v>127</v>
      </c>
      <c r="B189" t="s">
        <v>432</v>
      </c>
      <c r="C189" t="s">
        <v>433</v>
      </c>
      <c r="D189" t="s">
        <v>19</v>
      </c>
      <c r="E189" t="s">
        <v>20</v>
      </c>
      <c r="F189" t="s">
        <v>155</v>
      </c>
      <c r="G189" s="2">
        <v>46053.392013888886</v>
      </c>
      <c r="H189" s="2">
        <v>46053.39166666667</v>
      </c>
      <c r="I189" t="s">
        <v>155</v>
      </c>
      <c r="J189" t="s">
        <v>49</v>
      </c>
      <c r="K189" s="2">
        <f t="shared" si="7"/>
        <v>46056.392013888886</v>
      </c>
      <c r="S189" s="4">
        <f t="shared" ca="1" si="6"/>
        <v>59.60798611111386</v>
      </c>
    </row>
    <row r="190" spans="1:19" hidden="1" x14ac:dyDescent="0.35">
      <c r="A190">
        <v>128</v>
      </c>
      <c r="B190" t="s">
        <v>295</v>
      </c>
      <c r="C190" t="s">
        <v>434</v>
      </c>
      <c r="D190" t="s">
        <v>19</v>
      </c>
      <c r="E190" t="s">
        <v>20</v>
      </c>
      <c r="F190" t="s">
        <v>24</v>
      </c>
      <c r="G190" s="2">
        <v>46056.756851851853</v>
      </c>
      <c r="H190" s="2">
        <v>46056.79791666667</v>
      </c>
      <c r="I190" t="s">
        <v>24</v>
      </c>
      <c r="J190" t="s">
        <v>25</v>
      </c>
      <c r="K190" s="2">
        <f t="shared" si="7"/>
        <v>46059.756851851853</v>
      </c>
      <c r="S190" s="4">
        <f t="shared" ca="1" si="6"/>
        <v>56.243148148147156</v>
      </c>
    </row>
    <row r="191" spans="1:19" hidden="1" x14ac:dyDescent="0.35">
      <c r="A191">
        <v>129</v>
      </c>
      <c r="B191" t="s">
        <v>295</v>
      </c>
      <c r="C191" t="s">
        <v>39</v>
      </c>
      <c r="D191" t="s">
        <v>19</v>
      </c>
      <c r="E191" t="s">
        <v>20</v>
      </c>
      <c r="F191" t="s">
        <v>24</v>
      </c>
      <c r="G191" s="2">
        <v>46057.848449074074</v>
      </c>
      <c r="H191" s="2">
        <v>46065.01458333333</v>
      </c>
      <c r="I191" t="s">
        <v>24</v>
      </c>
      <c r="J191" t="s">
        <v>25</v>
      </c>
      <c r="K191" s="2">
        <f t="shared" si="7"/>
        <v>46060.848449074074</v>
      </c>
      <c r="L191" s="2">
        <v>46058.841041666667</v>
      </c>
      <c r="M191" t="s">
        <v>24</v>
      </c>
      <c r="N191" t="s">
        <v>435</v>
      </c>
      <c r="O191" t="s">
        <v>436</v>
      </c>
      <c r="P191" t="s">
        <v>170</v>
      </c>
      <c r="S191" s="4">
        <f t="shared" ca="1" si="6"/>
        <v>55.151550925926131</v>
      </c>
    </row>
    <row r="192" spans="1:19" hidden="1" x14ac:dyDescent="0.35">
      <c r="A192">
        <v>130</v>
      </c>
      <c r="B192" t="s">
        <v>437</v>
      </c>
      <c r="D192" t="s">
        <v>19</v>
      </c>
      <c r="E192" t="s">
        <v>20</v>
      </c>
      <c r="F192" t="s">
        <v>24</v>
      </c>
      <c r="G192" s="2">
        <v>46058.843055555553</v>
      </c>
      <c r="H192" s="2">
        <v>46058.967361111114</v>
      </c>
      <c r="I192" t="s">
        <v>24</v>
      </c>
      <c r="J192" t="s">
        <v>25</v>
      </c>
      <c r="K192" s="2">
        <f t="shared" si="7"/>
        <v>46061.843055555553</v>
      </c>
      <c r="S192" s="4">
        <f t="shared" ca="1" si="6"/>
        <v>54.156944444446708</v>
      </c>
    </row>
    <row r="193" spans="1:19" hidden="1" x14ac:dyDescent="0.35">
      <c r="A193">
        <v>131</v>
      </c>
      <c r="B193" t="s">
        <v>438</v>
      </c>
      <c r="D193" t="s">
        <v>19</v>
      </c>
      <c r="E193" t="s">
        <v>20</v>
      </c>
      <c r="F193" t="s">
        <v>24</v>
      </c>
      <c r="G193" s="2">
        <v>46060.508888888886</v>
      </c>
      <c r="H193" s="2">
        <v>46060.591666666667</v>
      </c>
      <c r="I193" t="s">
        <v>24</v>
      </c>
      <c r="J193" t="s">
        <v>25</v>
      </c>
      <c r="K193" s="2">
        <f t="shared" si="7"/>
        <v>46063.508888888886</v>
      </c>
      <c r="S193" s="4">
        <f t="shared" ca="1" si="6"/>
        <v>52.491111111114151</v>
      </c>
    </row>
    <row r="194" spans="1:19" hidden="1" x14ac:dyDescent="0.35">
      <c r="A194">
        <v>133</v>
      </c>
      <c r="B194" t="s">
        <v>439</v>
      </c>
      <c r="C194" t="s">
        <v>440</v>
      </c>
      <c r="D194" t="s">
        <v>19</v>
      </c>
      <c r="E194" t="s">
        <v>20</v>
      </c>
      <c r="F194" t="s">
        <v>24</v>
      </c>
      <c r="G194" s="2">
        <v>46075.441874999997</v>
      </c>
      <c r="H194" s="2">
        <v>46075.6875</v>
      </c>
      <c r="I194" t="s">
        <v>24</v>
      </c>
      <c r="J194" t="s">
        <v>25</v>
      </c>
      <c r="K194" s="2">
        <f t="shared" si="7"/>
        <v>46078.441874999997</v>
      </c>
      <c r="S194" s="4">
        <f t="shared" ca="1" si="6"/>
        <v>37.558125000003201</v>
      </c>
    </row>
    <row r="195" spans="1:19" hidden="1" x14ac:dyDescent="0.35">
      <c r="A195">
        <v>134</v>
      </c>
      <c r="B195" t="s">
        <v>441</v>
      </c>
      <c r="C195" t="s">
        <v>442</v>
      </c>
      <c r="D195" t="s">
        <v>19</v>
      </c>
      <c r="E195" t="s">
        <v>167</v>
      </c>
      <c r="F195" t="s">
        <v>100</v>
      </c>
      <c r="G195" s="2">
        <v>46076.302488425928</v>
      </c>
      <c r="H195" s="2">
        <v>46087.301388888889</v>
      </c>
      <c r="I195" t="s">
        <v>100</v>
      </c>
      <c r="K195" s="2">
        <f t="shared" si="7"/>
        <v>46079.302488425928</v>
      </c>
      <c r="L195" s="2">
        <v>46076.303599537037</v>
      </c>
      <c r="M195" t="s">
        <v>100</v>
      </c>
      <c r="N195" t="s">
        <v>443</v>
      </c>
      <c r="O195" t="s">
        <v>444</v>
      </c>
      <c r="P195" t="s">
        <v>170</v>
      </c>
      <c r="Q195" t="s">
        <v>100</v>
      </c>
      <c r="R195" t="s">
        <v>445</v>
      </c>
      <c r="S195" s="4">
        <f t="shared" ref="S195:S226" ca="1" si="8">TODAY()-G195</f>
        <v>36.697511574071541</v>
      </c>
    </row>
    <row r="196" spans="1:19" hidden="1" x14ac:dyDescent="0.35">
      <c r="A196">
        <v>134</v>
      </c>
      <c r="B196" t="s">
        <v>441</v>
      </c>
      <c r="C196" t="s">
        <v>442</v>
      </c>
      <c r="D196" t="s">
        <v>19</v>
      </c>
      <c r="E196" t="s">
        <v>167</v>
      </c>
      <c r="F196" t="s">
        <v>100</v>
      </c>
      <c r="G196" s="2">
        <v>46076.302488425928</v>
      </c>
      <c r="H196" s="2">
        <v>46087.301388888889</v>
      </c>
      <c r="I196" t="s">
        <v>100</v>
      </c>
      <c r="K196" s="2">
        <f t="shared" si="7"/>
        <v>46079.302488425928</v>
      </c>
      <c r="L196" s="2">
        <v>46076.304039351853</v>
      </c>
      <c r="M196" t="s">
        <v>100</v>
      </c>
      <c r="N196" t="s">
        <v>446</v>
      </c>
      <c r="O196" t="s">
        <v>447</v>
      </c>
      <c r="P196" t="s">
        <v>170</v>
      </c>
      <c r="Q196" t="s">
        <v>100</v>
      </c>
      <c r="R196" t="s">
        <v>448</v>
      </c>
      <c r="S196" s="4">
        <f t="shared" ca="1" si="8"/>
        <v>36.697511574071541</v>
      </c>
    </row>
    <row r="197" spans="1:19" hidden="1" x14ac:dyDescent="0.35">
      <c r="A197">
        <v>134</v>
      </c>
      <c r="B197" t="s">
        <v>441</v>
      </c>
      <c r="C197" t="s">
        <v>442</v>
      </c>
      <c r="D197" t="s">
        <v>19</v>
      </c>
      <c r="E197" t="s">
        <v>167</v>
      </c>
      <c r="F197" t="s">
        <v>100</v>
      </c>
      <c r="G197" s="2">
        <v>46076.302488425928</v>
      </c>
      <c r="H197" s="2">
        <v>46087.301388888889</v>
      </c>
      <c r="I197" t="s">
        <v>100</v>
      </c>
      <c r="K197" s="2">
        <f t="shared" si="7"/>
        <v>46079.302488425928</v>
      </c>
      <c r="L197" s="2">
        <v>46076.304826388892</v>
      </c>
      <c r="M197" t="s">
        <v>100</v>
      </c>
      <c r="N197" t="s">
        <v>449</v>
      </c>
      <c r="O197" t="s">
        <v>450</v>
      </c>
      <c r="P197" t="s">
        <v>106</v>
      </c>
      <c r="Q197" t="s">
        <v>100</v>
      </c>
      <c r="R197" t="s">
        <v>451</v>
      </c>
      <c r="S197" s="4">
        <f t="shared" ca="1" si="8"/>
        <v>36.697511574071541</v>
      </c>
    </row>
    <row r="198" spans="1:19" hidden="1" x14ac:dyDescent="0.35">
      <c r="A198">
        <v>134</v>
      </c>
      <c r="B198" t="s">
        <v>441</v>
      </c>
      <c r="C198" t="s">
        <v>442</v>
      </c>
      <c r="D198" t="s">
        <v>19</v>
      </c>
      <c r="E198" t="s">
        <v>167</v>
      </c>
      <c r="F198" t="s">
        <v>100</v>
      </c>
      <c r="G198" s="2">
        <v>46076.302488425928</v>
      </c>
      <c r="H198" s="2">
        <v>46087.301388888889</v>
      </c>
      <c r="I198" t="s">
        <v>100</v>
      </c>
      <c r="K198" s="2">
        <f t="shared" si="7"/>
        <v>46079.302488425928</v>
      </c>
      <c r="L198" s="2">
        <v>46076.30572916667</v>
      </c>
      <c r="M198" t="s">
        <v>100</v>
      </c>
      <c r="N198" t="s">
        <v>452</v>
      </c>
      <c r="O198" t="s">
        <v>453</v>
      </c>
      <c r="P198" t="s">
        <v>106</v>
      </c>
      <c r="Q198" t="s">
        <v>100</v>
      </c>
      <c r="R198" t="s">
        <v>454</v>
      </c>
      <c r="S198" s="4">
        <f t="shared" ca="1" si="8"/>
        <v>36.697511574071541</v>
      </c>
    </row>
    <row r="199" spans="1:19" hidden="1" x14ac:dyDescent="0.35">
      <c r="A199">
        <v>135</v>
      </c>
      <c r="B199" t="s">
        <v>455</v>
      </c>
      <c r="C199" t="s">
        <v>455</v>
      </c>
      <c r="D199" t="s">
        <v>19</v>
      </c>
      <c r="E199" t="s">
        <v>167</v>
      </c>
      <c r="F199" t="s">
        <v>100</v>
      </c>
      <c r="G199" s="2">
        <v>46076.309895833336</v>
      </c>
      <c r="H199" s="2">
        <v>46090.309027777781</v>
      </c>
      <c r="I199" t="s">
        <v>100</v>
      </c>
      <c r="K199" s="2">
        <f t="shared" si="7"/>
        <v>46079.309895833336</v>
      </c>
      <c r="L199" s="2">
        <v>46076.310497685183</v>
      </c>
      <c r="M199" t="s">
        <v>100</v>
      </c>
      <c r="N199" t="s">
        <v>456</v>
      </c>
      <c r="O199" t="s">
        <v>456</v>
      </c>
      <c r="P199" t="s">
        <v>170</v>
      </c>
      <c r="Q199" t="s">
        <v>100</v>
      </c>
      <c r="R199" t="s">
        <v>457</v>
      </c>
      <c r="S199" s="4">
        <f t="shared" ca="1" si="8"/>
        <v>36.690104166664241</v>
      </c>
    </row>
    <row r="200" spans="1:19" hidden="1" x14ac:dyDescent="0.35">
      <c r="A200">
        <v>135</v>
      </c>
      <c r="B200" t="s">
        <v>455</v>
      </c>
      <c r="C200" t="s">
        <v>455</v>
      </c>
      <c r="D200" t="s">
        <v>19</v>
      </c>
      <c r="E200" t="s">
        <v>167</v>
      </c>
      <c r="F200" t="s">
        <v>100</v>
      </c>
      <c r="G200" s="2">
        <v>46076.309895833336</v>
      </c>
      <c r="H200" s="2">
        <v>46090.309027777781</v>
      </c>
      <c r="I200" t="s">
        <v>100</v>
      </c>
      <c r="K200" s="2">
        <f t="shared" si="7"/>
        <v>46079.309895833336</v>
      </c>
      <c r="L200" s="2">
        <v>46076.310937499999</v>
      </c>
      <c r="M200" t="s">
        <v>100</v>
      </c>
      <c r="N200" t="s">
        <v>458</v>
      </c>
      <c r="O200" t="s">
        <v>458</v>
      </c>
      <c r="P200" t="s">
        <v>170</v>
      </c>
      <c r="Q200" t="s">
        <v>100</v>
      </c>
      <c r="R200" t="s">
        <v>457</v>
      </c>
      <c r="S200" s="4">
        <f t="shared" ca="1" si="8"/>
        <v>36.690104166664241</v>
      </c>
    </row>
    <row r="201" spans="1:19" hidden="1" x14ac:dyDescent="0.35">
      <c r="A201">
        <v>135</v>
      </c>
      <c r="B201" t="s">
        <v>455</v>
      </c>
      <c r="C201" t="s">
        <v>455</v>
      </c>
      <c r="D201" t="s">
        <v>19</v>
      </c>
      <c r="E201" t="s">
        <v>167</v>
      </c>
      <c r="F201" t="s">
        <v>100</v>
      </c>
      <c r="G201" s="2">
        <v>46076.309895833336</v>
      </c>
      <c r="H201" s="2">
        <v>46090.309027777781</v>
      </c>
      <c r="I201" t="s">
        <v>100</v>
      </c>
      <c r="K201" s="2">
        <f t="shared" si="7"/>
        <v>46079.309895833336</v>
      </c>
      <c r="L201" s="2">
        <v>46076.311180555553</v>
      </c>
      <c r="M201" t="s">
        <v>100</v>
      </c>
      <c r="N201" t="s">
        <v>459</v>
      </c>
      <c r="O201" t="s">
        <v>459</v>
      </c>
      <c r="P201" t="s">
        <v>170</v>
      </c>
      <c r="Q201" t="s">
        <v>100</v>
      </c>
      <c r="R201" t="s">
        <v>460</v>
      </c>
      <c r="S201" s="4">
        <f t="shared" ca="1" si="8"/>
        <v>36.690104166664241</v>
      </c>
    </row>
    <row r="202" spans="1:19" hidden="1" x14ac:dyDescent="0.35">
      <c r="A202">
        <v>135</v>
      </c>
      <c r="B202" t="s">
        <v>455</v>
      </c>
      <c r="C202" t="s">
        <v>455</v>
      </c>
      <c r="D202" t="s">
        <v>19</v>
      </c>
      <c r="E202" t="s">
        <v>167</v>
      </c>
      <c r="F202" t="s">
        <v>100</v>
      </c>
      <c r="G202" s="2">
        <v>46076.309895833336</v>
      </c>
      <c r="H202" s="2">
        <v>46090.309027777781</v>
      </c>
      <c r="I202" t="s">
        <v>100</v>
      </c>
      <c r="K202" s="2">
        <f t="shared" si="7"/>
        <v>46079.309895833336</v>
      </c>
      <c r="L202" s="2">
        <v>46076.311655092592</v>
      </c>
      <c r="M202" t="s">
        <v>100</v>
      </c>
      <c r="N202" t="s">
        <v>461</v>
      </c>
      <c r="O202" t="s">
        <v>461</v>
      </c>
      <c r="P202" t="s">
        <v>106</v>
      </c>
      <c r="Q202" t="s">
        <v>100</v>
      </c>
      <c r="R202" t="s">
        <v>460</v>
      </c>
      <c r="S202" s="4">
        <f t="shared" ca="1" si="8"/>
        <v>36.690104166664241</v>
      </c>
    </row>
    <row r="203" spans="1:19" hidden="1" x14ac:dyDescent="0.35">
      <c r="A203">
        <v>135</v>
      </c>
      <c r="B203" t="s">
        <v>455</v>
      </c>
      <c r="C203" t="s">
        <v>455</v>
      </c>
      <c r="D203" t="s">
        <v>19</v>
      </c>
      <c r="E203" t="s">
        <v>167</v>
      </c>
      <c r="F203" t="s">
        <v>100</v>
      </c>
      <c r="G203" s="2">
        <v>46076.309895833336</v>
      </c>
      <c r="H203" s="2">
        <v>46090.309027777781</v>
      </c>
      <c r="I203" t="s">
        <v>100</v>
      </c>
      <c r="K203" s="2">
        <f t="shared" si="7"/>
        <v>46079.309895833336</v>
      </c>
      <c r="L203" s="2">
        <v>46076.311967592592</v>
      </c>
      <c r="M203" t="s">
        <v>100</v>
      </c>
      <c r="N203" t="s">
        <v>462</v>
      </c>
      <c r="O203" t="s">
        <v>462</v>
      </c>
      <c r="P203" t="s">
        <v>170</v>
      </c>
      <c r="Q203" t="s">
        <v>100</v>
      </c>
      <c r="R203" t="s">
        <v>463</v>
      </c>
      <c r="S203" s="4">
        <f t="shared" ca="1" si="8"/>
        <v>36.690104166664241</v>
      </c>
    </row>
    <row r="204" spans="1:19" hidden="1" x14ac:dyDescent="0.35">
      <c r="A204">
        <v>135</v>
      </c>
      <c r="B204" t="s">
        <v>455</v>
      </c>
      <c r="C204" t="s">
        <v>455</v>
      </c>
      <c r="D204" t="s">
        <v>19</v>
      </c>
      <c r="E204" t="s">
        <v>167</v>
      </c>
      <c r="F204" t="s">
        <v>100</v>
      </c>
      <c r="G204" s="2">
        <v>46076.309895833336</v>
      </c>
      <c r="H204" s="2">
        <v>46090.309027777781</v>
      </c>
      <c r="I204" t="s">
        <v>100</v>
      </c>
      <c r="K204" s="2">
        <f t="shared" si="7"/>
        <v>46079.309895833336</v>
      </c>
      <c r="L204" s="2">
        <v>46076.312523148146</v>
      </c>
      <c r="M204" t="s">
        <v>100</v>
      </c>
      <c r="N204" t="s">
        <v>464</v>
      </c>
      <c r="O204" t="s">
        <v>464</v>
      </c>
      <c r="P204" t="s">
        <v>106</v>
      </c>
      <c r="Q204" t="s">
        <v>100</v>
      </c>
      <c r="R204" t="s">
        <v>465</v>
      </c>
      <c r="S204" s="4">
        <f t="shared" ca="1" si="8"/>
        <v>36.690104166664241</v>
      </c>
    </row>
    <row r="205" spans="1:19" hidden="1" x14ac:dyDescent="0.35">
      <c r="A205">
        <v>135</v>
      </c>
      <c r="B205" t="s">
        <v>455</v>
      </c>
      <c r="C205" t="s">
        <v>455</v>
      </c>
      <c r="D205" t="s">
        <v>19</v>
      </c>
      <c r="E205" t="s">
        <v>167</v>
      </c>
      <c r="F205" t="s">
        <v>100</v>
      </c>
      <c r="G205" s="2">
        <v>46076.309895833336</v>
      </c>
      <c r="H205" s="2">
        <v>46090.309027777781</v>
      </c>
      <c r="I205" t="s">
        <v>100</v>
      </c>
      <c r="K205" s="2">
        <f t="shared" si="7"/>
        <v>46079.309895833336</v>
      </c>
      <c r="L205" s="2">
        <v>46076.312847222223</v>
      </c>
      <c r="M205" t="s">
        <v>100</v>
      </c>
      <c r="N205" t="s">
        <v>466</v>
      </c>
      <c r="O205" t="s">
        <v>466</v>
      </c>
      <c r="P205" t="s">
        <v>170</v>
      </c>
      <c r="Q205" t="s">
        <v>100</v>
      </c>
      <c r="R205" t="s">
        <v>467</v>
      </c>
      <c r="S205" s="4">
        <f t="shared" ca="1" si="8"/>
        <v>36.690104166664241</v>
      </c>
    </row>
    <row r="206" spans="1:19" hidden="1" x14ac:dyDescent="0.35">
      <c r="A206">
        <v>135</v>
      </c>
      <c r="B206" t="s">
        <v>455</v>
      </c>
      <c r="C206" t="s">
        <v>455</v>
      </c>
      <c r="D206" t="s">
        <v>19</v>
      </c>
      <c r="E206" t="s">
        <v>167</v>
      </c>
      <c r="F206" t="s">
        <v>100</v>
      </c>
      <c r="G206" s="2">
        <v>46076.309895833336</v>
      </c>
      <c r="H206" s="2">
        <v>46090.309027777781</v>
      </c>
      <c r="I206" t="s">
        <v>100</v>
      </c>
      <c r="K206" s="2">
        <f t="shared" si="7"/>
        <v>46079.309895833336</v>
      </c>
      <c r="L206" s="2">
        <v>46076.313263888886</v>
      </c>
      <c r="M206" t="s">
        <v>100</v>
      </c>
      <c r="N206" t="s">
        <v>468</v>
      </c>
      <c r="O206" t="s">
        <v>468</v>
      </c>
      <c r="P206" t="s">
        <v>170</v>
      </c>
      <c r="Q206" t="s">
        <v>100</v>
      </c>
      <c r="R206" t="s">
        <v>469</v>
      </c>
      <c r="S206" s="4">
        <f t="shared" ca="1" si="8"/>
        <v>36.690104166664241</v>
      </c>
    </row>
    <row r="207" spans="1:19" hidden="1" x14ac:dyDescent="0.35">
      <c r="A207">
        <v>135</v>
      </c>
      <c r="B207" t="s">
        <v>455</v>
      </c>
      <c r="C207" t="s">
        <v>455</v>
      </c>
      <c r="D207" t="s">
        <v>19</v>
      </c>
      <c r="E207" t="s">
        <v>167</v>
      </c>
      <c r="F207" t="s">
        <v>100</v>
      </c>
      <c r="G207" s="2">
        <v>46076.309895833336</v>
      </c>
      <c r="H207" s="2">
        <v>46090.309027777781</v>
      </c>
      <c r="I207" t="s">
        <v>100</v>
      </c>
      <c r="K207" s="2">
        <f t="shared" si="7"/>
        <v>46079.309895833336</v>
      </c>
      <c r="L207" s="2">
        <v>46076.313275462962</v>
      </c>
      <c r="M207" t="s">
        <v>100</v>
      </c>
      <c r="N207" t="s">
        <v>468</v>
      </c>
      <c r="O207" t="s">
        <v>468</v>
      </c>
      <c r="P207" t="s">
        <v>170</v>
      </c>
      <c r="Q207" t="s">
        <v>100</v>
      </c>
      <c r="R207" t="s">
        <v>469</v>
      </c>
      <c r="S207" s="4">
        <f t="shared" ca="1" si="8"/>
        <v>36.690104166664241</v>
      </c>
    </row>
    <row r="208" spans="1:19" hidden="1" x14ac:dyDescent="0.35">
      <c r="A208">
        <v>135</v>
      </c>
      <c r="B208" t="s">
        <v>455</v>
      </c>
      <c r="C208" t="s">
        <v>455</v>
      </c>
      <c r="D208" t="s">
        <v>19</v>
      </c>
      <c r="E208" t="s">
        <v>167</v>
      </c>
      <c r="F208" t="s">
        <v>100</v>
      </c>
      <c r="G208" s="2">
        <v>46076.309895833336</v>
      </c>
      <c r="H208" s="2">
        <v>46090.309027777781</v>
      </c>
      <c r="I208" t="s">
        <v>100</v>
      </c>
      <c r="K208" s="2">
        <f t="shared" si="7"/>
        <v>46079.309895833336</v>
      </c>
      <c r="L208" s="2">
        <v>46076.313611111109</v>
      </c>
      <c r="M208" t="s">
        <v>100</v>
      </c>
      <c r="N208" t="s">
        <v>470</v>
      </c>
      <c r="O208" t="s">
        <v>470</v>
      </c>
      <c r="P208" t="s">
        <v>106</v>
      </c>
      <c r="Q208" t="s">
        <v>100</v>
      </c>
      <c r="R208" t="s">
        <v>471</v>
      </c>
      <c r="S208" s="4">
        <f t="shared" ca="1" si="8"/>
        <v>36.690104166664241</v>
      </c>
    </row>
    <row r="209" spans="1:19" hidden="1" x14ac:dyDescent="0.35">
      <c r="A209">
        <v>135</v>
      </c>
      <c r="B209" t="s">
        <v>455</v>
      </c>
      <c r="C209" t="s">
        <v>455</v>
      </c>
      <c r="D209" t="s">
        <v>19</v>
      </c>
      <c r="E209" t="s">
        <v>167</v>
      </c>
      <c r="F209" t="s">
        <v>100</v>
      </c>
      <c r="G209" s="2">
        <v>46076.309895833336</v>
      </c>
      <c r="H209" s="2">
        <v>46090.309027777781</v>
      </c>
      <c r="I209" t="s">
        <v>100</v>
      </c>
      <c r="K209" s="2">
        <f t="shared" si="7"/>
        <v>46079.309895833336</v>
      </c>
      <c r="L209" s="2">
        <v>46076.314016203702</v>
      </c>
      <c r="M209" t="s">
        <v>100</v>
      </c>
      <c r="N209" t="s">
        <v>472</v>
      </c>
      <c r="O209" t="s">
        <v>472</v>
      </c>
      <c r="P209" t="s">
        <v>106</v>
      </c>
      <c r="Q209" t="s">
        <v>100</v>
      </c>
      <c r="R209" t="s">
        <v>473</v>
      </c>
      <c r="S209" s="4">
        <f t="shared" ca="1" si="8"/>
        <v>36.690104166664241</v>
      </c>
    </row>
    <row r="210" spans="1:19" hidden="1" x14ac:dyDescent="0.35">
      <c r="A210">
        <v>135</v>
      </c>
      <c r="B210" t="s">
        <v>455</v>
      </c>
      <c r="C210" t="s">
        <v>455</v>
      </c>
      <c r="D210" t="s">
        <v>19</v>
      </c>
      <c r="E210" t="s">
        <v>167</v>
      </c>
      <c r="F210" t="s">
        <v>100</v>
      </c>
      <c r="G210" s="2">
        <v>46076.309895833336</v>
      </c>
      <c r="H210" s="2">
        <v>46090.309027777781</v>
      </c>
      <c r="I210" t="s">
        <v>100</v>
      </c>
      <c r="K210" s="2">
        <f t="shared" si="7"/>
        <v>46079.309895833336</v>
      </c>
      <c r="L210" s="2">
        <v>46076.314421296294</v>
      </c>
      <c r="M210" t="s">
        <v>100</v>
      </c>
      <c r="N210" t="s">
        <v>474</v>
      </c>
      <c r="O210" t="s">
        <v>474</v>
      </c>
      <c r="P210" t="s">
        <v>106</v>
      </c>
      <c r="Q210" t="s">
        <v>100</v>
      </c>
      <c r="R210" t="s">
        <v>475</v>
      </c>
      <c r="S210" s="4">
        <f t="shared" ca="1" si="8"/>
        <v>36.690104166664241</v>
      </c>
    </row>
    <row r="211" spans="1:19" hidden="1" x14ac:dyDescent="0.35">
      <c r="A211">
        <v>135</v>
      </c>
      <c r="B211" t="s">
        <v>455</v>
      </c>
      <c r="C211" t="s">
        <v>455</v>
      </c>
      <c r="D211" t="s">
        <v>19</v>
      </c>
      <c r="E211" t="s">
        <v>167</v>
      </c>
      <c r="F211" t="s">
        <v>100</v>
      </c>
      <c r="G211" s="2">
        <v>46076.309895833336</v>
      </c>
      <c r="H211" s="2">
        <v>46090.309027777781</v>
      </c>
      <c r="I211" t="s">
        <v>100</v>
      </c>
      <c r="K211" s="2">
        <f t="shared" si="7"/>
        <v>46079.309895833336</v>
      </c>
      <c r="L211" s="2">
        <v>46076.314872685187</v>
      </c>
      <c r="M211" t="s">
        <v>100</v>
      </c>
      <c r="N211" t="s">
        <v>476</v>
      </c>
      <c r="O211" t="s">
        <v>476</v>
      </c>
      <c r="P211" t="s">
        <v>117</v>
      </c>
      <c r="Q211" t="s">
        <v>100</v>
      </c>
      <c r="R211" t="s">
        <v>477</v>
      </c>
      <c r="S211" s="4">
        <f t="shared" ca="1" si="8"/>
        <v>36.690104166664241</v>
      </c>
    </row>
    <row r="212" spans="1:19" hidden="1" x14ac:dyDescent="0.35">
      <c r="A212">
        <v>135</v>
      </c>
      <c r="B212" t="s">
        <v>455</v>
      </c>
      <c r="C212" t="s">
        <v>455</v>
      </c>
      <c r="D212" t="s">
        <v>19</v>
      </c>
      <c r="E212" t="s">
        <v>167</v>
      </c>
      <c r="F212" t="s">
        <v>100</v>
      </c>
      <c r="G212" s="2">
        <v>46076.309895833336</v>
      </c>
      <c r="H212" s="2">
        <v>46090.309027777781</v>
      </c>
      <c r="I212" t="s">
        <v>100</v>
      </c>
      <c r="K212" s="2">
        <f t="shared" si="7"/>
        <v>46079.309895833336</v>
      </c>
      <c r="L212" s="2">
        <v>46076.315497685187</v>
      </c>
      <c r="M212" t="s">
        <v>100</v>
      </c>
      <c r="N212" t="s">
        <v>478</v>
      </c>
      <c r="O212" t="s">
        <v>478</v>
      </c>
      <c r="P212" t="s">
        <v>106</v>
      </c>
      <c r="Q212" t="s">
        <v>100</v>
      </c>
      <c r="R212" t="s">
        <v>479</v>
      </c>
      <c r="S212" s="4">
        <f t="shared" ca="1" si="8"/>
        <v>36.690104166664241</v>
      </c>
    </row>
    <row r="213" spans="1:19" hidden="1" x14ac:dyDescent="0.35">
      <c r="A213">
        <v>137</v>
      </c>
      <c r="B213" t="s">
        <v>480</v>
      </c>
      <c r="C213" t="s">
        <v>46</v>
      </c>
      <c r="D213" t="s">
        <v>19</v>
      </c>
      <c r="E213" t="s">
        <v>20</v>
      </c>
      <c r="F213" t="s">
        <v>48</v>
      </c>
      <c r="G213" s="2">
        <v>46081.478622685187</v>
      </c>
      <c r="I213" t="s">
        <v>48</v>
      </c>
      <c r="J213" t="s">
        <v>49</v>
      </c>
      <c r="K213" s="2">
        <f t="shared" si="7"/>
        <v>46084.478622685187</v>
      </c>
      <c r="S213" s="4">
        <f t="shared" ca="1" si="8"/>
        <v>31.521377314813435</v>
      </c>
    </row>
    <row r="214" spans="1:19" hidden="1" x14ac:dyDescent="0.35">
      <c r="A214">
        <v>138</v>
      </c>
      <c r="B214" t="s">
        <v>294</v>
      </c>
      <c r="D214" t="s">
        <v>19</v>
      </c>
      <c r="E214" t="s">
        <v>20</v>
      </c>
      <c r="F214" t="s">
        <v>24</v>
      </c>
      <c r="G214" s="2">
        <v>46081.6641087963</v>
      </c>
      <c r="H214" s="2">
        <v>46081.75</v>
      </c>
      <c r="I214" t="s">
        <v>24</v>
      </c>
      <c r="J214" t="s">
        <v>25</v>
      </c>
      <c r="K214" s="2">
        <f t="shared" si="7"/>
        <v>46084.6641087963</v>
      </c>
      <c r="S214" s="4">
        <f t="shared" ca="1" si="8"/>
        <v>31.335891203700157</v>
      </c>
    </row>
    <row r="215" spans="1:19" hidden="1" x14ac:dyDescent="0.35">
      <c r="A215">
        <v>139</v>
      </c>
      <c r="B215" t="s">
        <v>480</v>
      </c>
      <c r="C215" t="s">
        <v>481</v>
      </c>
      <c r="D215" t="s">
        <v>19</v>
      </c>
      <c r="E215" t="s">
        <v>20</v>
      </c>
      <c r="F215" t="s">
        <v>48</v>
      </c>
      <c r="G215" s="2">
        <v>46081.72</v>
      </c>
      <c r="I215" t="s">
        <v>48</v>
      </c>
      <c r="J215" t="s">
        <v>49</v>
      </c>
      <c r="K215" s="2">
        <f t="shared" ref="K215:K225" si="9">G215+3</f>
        <v>46084.72</v>
      </c>
      <c r="S215" s="4">
        <f t="shared" ca="1" si="8"/>
        <v>31.279999999998836</v>
      </c>
    </row>
    <row r="216" spans="1:19" hidden="1" x14ac:dyDescent="0.35">
      <c r="A216">
        <v>140</v>
      </c>
      <c r="B216" t="s">
        <v>480</v>
      </c>
      <c r="C216" t="s">
        <v>482</v>
      </c>
      <c r="D216" t="s">
        <v>19</v>
      </c>
      <c r="E216" t="s">
        <v>20</v>
      </c>
      <c r="F216" t="s">
        <v>48</v>
      </c>
      <c r="G216" s="2">
        <v>46083.836967592593</v>
      </c>
      <c r="I216" t="s">
        <v>48</v>
      </c>
      <c r="J216" t="s">
        <v>49</v>
      </c>
      <c r="K216" s="2">
        <f t="shared" si="9"/>
        <v>46086.836967592593</v>
      </c>
      <c r="S216" s="4">
        <f t="shared" ca="1" si="8"/>
        <v>29.163032407406718</v>
      </c>
    </row>
    <row r="217" spans="1:19" hidden="1" x14ac:dyDescent="0.35">
      <c r="A217">
        <v>141</v>
      </c>
      <c r="B217" t="s">
        <v>483</v>
      </c>
      <c r="C217" t="s">
        <v>484</v>
      </c>
      <c r="D217" t="s">
        <v>19</v>
      </c>
      <c r="E217" t="s">
        <v>20</v>
      </c>
      <c r="F217" t="s">
        <v>48</v>
      </c>
      <c r="G217" s="2">
        <v>46084.900671296295</v>
      </c>
      <c r="I217" t="s">
        <v>48</v>
      </c>
      <c r="J217" t="s">
        <v>49</v>
      </c>
      <c r="K217" s="2">
        <f t="shared" si="9"/>
        <v>46087.900671296295</v>
      </c>
      <c r="S217" s="4">
        <f t="shared" ca="1" si="8"/>
        <v>28.099328703705396</v>
      </c>
    </row>
    <row r="218" spans="1:19" hidden="1" x14ac:dyDescent="0.35">
      <c r="A218">
        <v>142</v>
      </c>
      <c r="B218" t="s">
        <v>485</v>
      </c>
      <c r="C218" t="s">
        <v>485</v>
      </c>
      <c r="D218" t="s">
        <v>19</v>
      </c>
      <c r="E218" t="s">
        <v>20</v>
      </c>
      <c r="F218" t="s">
        <v>48</v>
      </c>
      <c r="G218" s="2">
        <v>46085.880983796298</v>
      </c>
      <c r="I218" t="s">
        <v>48</v>
      </c>
      <c r="J218" t="s">
        <v>49</v>
      </c>
      <c r="K218" s="2">
        <f t="shared" si="9"/>
        <v>46088.880983796298</v>
      </c>
      <c r="S218" s="4">
        <f t="shared" ca="1" si="8"/>
        <v>27.119016203701904</v>
      </c>
    </row>
    <row r="219" spans="1:19" hidden="1" x14ac:dyDescent="0.35">
      <c r="A219">
        <v>143</v>
      </c>
      <c r="B219" t="s">
        <v>486</v>
      </c>
      <c r="C219" t="s">
        <v>487</v>
      </c>
      <c r="D219" t="s">
        <v>19</v>
      </c>
      <c r="E219" t="s">
        <v>20</v>
      </c>
      <c r="F219" t="s">
        <v>24</v>
      </c>
      <c r="G219" s="2">
        <v>46086.885162037041</v>
      </c>
      <c r="H219" s="2">
        <v>46086.967361111114</v>
      </c>
      <c r="I219" t="s">
        <v>24</v>
      </c>
      <c r="J219" t="s">
        <v>25</v>
      </c>
      <c r="K219" s="2">
        <f t="shared" si="9"/>
        <v>46089.885162037041</v>
      </c>
      <c r="S219" s="4">
        <f t="shared" ca="1" si="8"/>
        <v>26.114837962959427</v>
      </c>
    </row>
    <row r="220" spans="1:19" hidden="1" x14ac:dyDescent="0.35">
      <c r="A220">
        <v>144</v>
      </c>
      <c r="B220" t="s">
        <v>488</v>
      </c>
      <c r="C220" t="s">
        <v>489</v>
      </c>
      <c r="D220" t="s">
        <v>19</v>
      </c>
      <c r="E220" t="s">
        <v>20</v>
      </c>
      <c r="F220" t="s">
        <v>48</v>
      </c>
      <c r="G220" s="2">
        <v>46086.961226851854</v>
      </c>
      <c r="I220" t="s">
        <v>48</v>
      </c>
      <c r="J220" t="s">
        <v>49</v>
      </c>
      <c r="K220" s="2">
        <f t="shared" si="9"/>
        <v>46089.961226851854</v>
      </c>
      <c r="S220" s="4">
        <f t="shared" ca="1" si="8"/>
        <v>26.038773148145992</v>
      </c>
    </row>
    <row r="221" spans="1:19" hidden="1" x14ac:dyDescent="0.35">
      <c r="A221">
        <v>145</v>
      </c>
      <c r="B221" t="s">
        <v>490</v>
      </c>
      <c r="D221" t="s">
        <v>19</v>
      </c>
      <c r="E221" t="s">
        <v>20</v>
      </c>
      <c r="F221" t="s">
        <v>24</v>
      </c>
      <c r="G221" s="2">
        <v>46088.42528935185</v>
      </c>
      <c r="H221" s="2">
        <v>46088.509722222225</v>
      </c>
      <c r="I221" t="s">
        <v>24</v>
      </c>
      <c r="J221" t="s">
        <v>25</v>
      </c>
      <c r="K221" s="2">
        <f t="shared" si="9"/>
        <v>46091.42528935185</v>
      </c>
      <c r="L221" s="2">
        <v>46095.486886574072</v>
      </c>
      <c r="M221" t="s">
        <v>24</v>
      </c>
      <c r="N221" t="s">
        <v>491</v>
      </c>
      <c r="P221" t="s">
        <v>170</v>
      </c>
      <c r="S221" s="4">
        <f t="shared" ca="1" si="8"/>
        <v>24.574710648150358</v>
      </c>
    </row>
    <row r="222" spans="1:19" hidden="1" x14ac:dyDescent="0.35">
      <c r="A222">
        <v>146</v>
      </c>
      <c r="B222" t="s">
        <v>492</v>
      </c>
      <c r="C222" t="s">
        <v>493</v>
      </c>
      <c r="D222" t="s">
        <v>19</v>
      </c>
      <c r="E222" t="s">
        <v>20</v>
      </c>
      <c r="F222" t="s">
        <v>48</v>
      </c>
      <c r="G222" s="2">
        <v>46088.951828703706</v>
      </c>
      <c r="I222" t="s">
        <v>48</v>
      </c>
      <c r="J222" t="s">
        <v>49</v>
      </c>
      <c r="K222" s="2">
        <f t="shared" si="9"/>
        <v>46091.951828703706</v>
      </c>
      <c r="S222" s="4">
        <f t="shared" ca="1" si="8"/>
        <v>24.048171296293731</v>
      </c>
    </row>
    <row r="223" spans="1:19" hidden="1" x14ac:dyDescent="0.35">
      <c r="A223">
        <v>147</v>
      </c>
      <c r="B223" t="s">
        <v>439</v>
      </c>
      <c r="D223" t="s">
        <v>19</v>
      </c>
      <c r="E223" t="s">
        <v>20</v>
      </c>
      <c r="F223" t="s">
        <v>24</v>
      </c>
      <c r="G223" s="2">
        <v>46095.487847222219</v>
      </c>
      <c r="H223" s="2">
        <v>46095.542361111111</v>
      </c>
      <c r="I223" t="s">
        <v>24</v>
      </c>
      <c r="J223" t="s">
        <v>25</v>
      </c>
      <c r="K223" s="2">
        <f t="shared" si="9"/>
        <v>46098.487847222219</v>
      </c>
      <c r="S223" s="4">
        <f t="shared" ca="1" si="8"/>
        <v>17.512152777781012</v>
      </c>
    </row>
    <row r="224" spans="1:19" hidden="1" x14ac:dyDescent="0.35">
      <c r="A224">
        <v>148</v>
      </c>
      <c r="B224" t="s">
        <v>492</v>
      </c>
      <c r="C224" t="s">
        <v>494</v>
      </c>
      <c r="D224" t="s">
        <v>19</v>
      </c>
      <c r="E224" t="s">
        <v>20</v>
      </c>
      <c r="F224" t="s">
        <v>48</v>
      </c>
      <c r="G224" s="2">
        <v>46097.883587962962</v>
      </c>
      <c r="I224" t="s">
        <v>48</v>
      </c>
      <c r="J224" t="s">
        <v>49</v>
      </c>
      <c r="K224" s="2">
        <f t="shared" si="9"/>
        <v>46100.883587962962</v>
      </c>
      <c r="S224" s="4">
        <f t="shared" ca="1" si="8"/>
        <v>15.116412037037662</v>
      </c>
    </row>
    <row r="225" spans="1:19" hidden="1" x14ac:dyDescent="0.35">
      <c r="A225">
        <v>149</v>
      </c>
      <c r="B225" t="s">
        <v>492</v>
      </c>
      <c r="C225" t="s">
        <v>495</v>
      </c>
      <c r="D225" t="s">
        <v>19</v>
      </c>
      <c r="E225" t="s">
        <v>20</v>
      </c>
      <c r="F225" t="s">
        <v>48</v>
      </c>
      <c r="G225" s="2">
        <v>46104.804629629631</v>
      </c>
      <c r="I225" t="s">
        <v>48</v>
      </c>
      <c r="J225" t="s">
        <v>49</v>
      </c>
      <c r="K225" s="2">
        <f t="shared" si="9"/>
        <v>46107.804629629631</v>
      </c>
      <c r="S225" s="4">
        <f t="shared" ca="1" si="8"/>
        <v>8.1953703703693463</v>
      </c>
    </row>
    <row r="226" spans="1:19" hidden="1" x14ac:dyDescent="0.35">
      <c r="A226">
        <v>150</v>
      </c>
      <c r="B226" t="s">
        <v>492</v>
      </c>
      <c r="C226" t="s">
        <v>496</v>
      </c>
      <c r="D226" t="s">
        <v>27</v>
      </c>
      <c r="E226" t="s">
        <v>20</v>
      </c>
      <c r="F226" t="s">
        <v>48</v>
      </c>
      <c r="G226" s="2">
        <v>46107.820127314815</v>
      </c>
      <c r="H226" s="2">
        <v>46115</v>
      </c>
      <c r="I226" t="s">
        <v>48</v>
      </c>
      <c r="J226" t="s">
        <v>49</v>
      </c>
      <c r="K226" s="2">
        <v>46115</v>
      </c>
      <c r="S226" s="4">
        <f t="shared" ca="1" si="8"/>
        <v>5.1798726851848187</v>
      </c>
    </row>
  </sheetData>
  <autoFilter ref="A1:S226" xr:uid="{00000000-0001-0000-0000-000000000000}">
    <filterColumn colId="3">
      <filters>
        <filter val="Atrasada"/>
      </filters>
    </filterColumn>
    <filterColumn colId="6">
      <filters blank="1">
        <dateGroupItem year="2026" dateTimeGrouping="year"/>
      </filters>
    </filterColumn>
  </autoFilter>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E73A-2673-46B1-8887-37A8CEF9CD39}">
  <dimension ref="A1:B5"/>
  <sheetViews>
    <sheetView workbookViewId="0">
      <selection activeCell="B1" sqref="B1"/>
    </sheetView>
  </sheetViews>
  <sheetFormatPr baseColWidth="10" defaultRowHeight="14.5" x14ac:dyDescent="0.35"/>
  <cols>
    <col min="1" max="1" width="19" customWidth="1"/>
  </cols>
  <sheetData>
    <row r="1" spans="1:2" x14ac:dyDescent="0.35">
      <c r="A1" s="1" t="s">
        <v>4</v>
      </c>
      <c r="B1" s="1" t="s">
        <v>501</v>
      </c>
    </row>
    <row r="2" spans="1:2" x14ac:dyDescent="0.35">
      <c r="A2" s="7" t="s">
        <v>20</v>
      </c>
      <c r="B2" s="7">
        <v>1</v>
      </c>
    </row>
    <row r="3" spans="1:2" x14ac:dyDescent="0.35">
      <c r="A3" s="7" t="s">
        <v>167</v>
      </c>
      <c r="B3" s="7">
        <v>2</v>
      </c>
    </row>
    <row r="4" spans="1:2" x14ac:dyDescent="0.35">
      <c r="A4" s="7" t="s">
        <v>197</v>
      </c>
      <c r="B4" s="7">
        <v>3</v>
      </c>
    </row>
    <row r="5" spans="1:2" x14ac:dyDescent="0.35">
      <c r="A5" s="7" t="s">
        <v>219</v>
      </c>
      <c r="B5" s="7">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4D9D8-B4F5-4F3E-BB2E-ACBEBD83C6C6}">
  <dimension ref="A1:B12"/>
  <sheetViews>
    <sheetView workbookViewId="0">
      <selection activeCell="D15" sqref="D15"/>
    </sheetView>
  </sheetViews>
  <sheetFormatPr baseColWidth="10" defaultRowHeight="14.5" x14ac:dyDescent="0.35"/>
  <cols>
    <col min="1" max="1" width="46.453125" bestFit="1" customWidth="1"/>
  </cols>
  <sheetData>
    <row r="1" spans="1:2" x14ac:dyDescent="0.35">
      <c r="A1" s="1" t="s">
        <v>5</v>
      </c>
      <c r="B1" s="7" t="s">
        <v>501</v>
      </c>
    </row>
    <row r="2" spans="1:2" x14ac:dyDescent="0.35">
      <c r="A2" s="7" t="s">
        <v>48</v>
      </c>
      <c r="B2" s="7">
        <v>1</v>
      </c>
    </row>
    <row r="3" spans="1:2" x14ac:dyDescent="0.35">
      <c r="A3" s="7" t="s">
        <v>24</v>
      </c>
      <c r="B3" s="7">
        <v>2</v>
      </c>
    </row>
    <row r="4" spans="1:2" x14ac:dyDescent="0.35">
      <c r="A4" s="7" t="s">
        <v>100</v>
      </c>
      <c r="B4" s="7">
        <v>3</v>
      </c>
    </row>
    <row r="5" spans="1:2" x14ac:dyDescent="0.35">
      <c r="A5" s="7" t="s">
        <v>29</v>
      </c>
      <c r="B5" s="7">
        <v>4</v>
      </c>
    </row>
    <row r="6" spans="1:2" x14ac:dyDescent="0.35">
      <c r="A6" s="7" t="s">
        <v>35</v>
      </c>
      <c r="B6" s="7">
        <v>5</v>
      </c>
    </row>
    <row r="7" spans="1:2" x14ac:dyDescent="0.35">
      <c r="A7" s="7" t="s">
        <v>45</v>
      </c>
      <c r="B7" s="7">
        <v>6</v>
      </c>
    </row>
    <row r="8" spans="1:2" x14ac:dyDescent="0.35">
      <c r="A8" s="7" t="s">
        <v>74</v>
      </c>
      <c r="B8" s="7">
        <v>7</v>
      </c>
    </row>
    <row r="9" spans="1:2" x14ac:dyDescent="0.35">
      <c r="A9" s="7" t="s">
        <v>96</v>
      </c>
      <c r="B9" s="7">
        <v>8</v>
      </c>
    </row>
    <row r="10" spans="1:2" x14ac:dyDescent="0.35">
      <c r="A10" s="7" t="s">
        <v>155</v>
      </c>
      <c r="B10" s="7">
        <v>9</v>
      </c>
    </row>
    <row r="11" spans="1:2" x14ac:dyDescent="0.35">
      <c r="A11" s="7" t="s">
        <v>158</v>
      </c>
      <c r="B11" s="7">
        <v>10</v>
      </c>
    </row>
    <row r="12" spans="1:2" x14ac:dyDescent="0.35">
      <c r="A12" s="7" t="s">
        <v>500</v>
      </c>
      <c r="B12" s="7">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C7C2-23B2-4972-84F9-747EEF3398B0}">
  <dimension ref="A1:B5"/>
  <sheetViews>
    <sheetView workbookViewId="0">
      <selection activeCell="D7" sqref="D7"/>
    </sheetView>
  </sheetViews>
  <sheetFormatPr baseColWidth="10" defaultRowHeight="14.5" x14ac:dyDescent="0.35"/>
  <cols>
    <col min="1" max="1" width="15" customWidth="1"/>
  </cols>
  <sheetData>
    <row r="1" spans="1:2" x14ac:dyDescent="0.35">
      <c r="A1" s="1" t="s">
        <v>3</v>
      </c>
      <c r="B1" s="1" t="s">
        <v>502</v>
      </c>
    </row>
    <row r="2" spans="1:2" x14ac:dyDescent="0.35">
      <c r="A2" s="7" t="s">
        <v>19</v>
      </c>
      <c r="B2" s="7">
        <v>1</v>
      </c>
    </row>
    <row r="3" spans="1:2" x14ac:dyDescent="0.35">
      <c r="A3" s="7" t="s">
        <v>27</v>
      </c>
      <c r="B3" s="7">
        <v>2</v>
      </c>
    </row>
    <row r="4" spans="1:2" x14ac:dyDescent="0.35">
      <c r="A4" s="7" t="s">
        <v>58</v>
      </c>
      <c r="B4" s="7">
        <v>3</v>
      </c>
    </row>
    <row r="5" spans="1:2" x14ac:dyDescent="0.35">
      <c r="A5" s="7" t="s">
        <v>218</v>
      </c>
      <c r="B5" s="7">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6A98-DE53-4690-B9AE-C60ADB0F8147}">
  <dimension ref="A1:B6"/>
  <sheetViews>
    <sheetView workbookViewId="0">
      <selection activeCell="E6" sqref="E6"/>
    </sheetView>
  </sheetViews>
  <sheetFormatPr baseColWidth="10" defaultRowHeight="14.5" x14ac:dyDescent="0.35"/>
  <cols>
    <col min="1" max="1" width="28.08984375" bestFit="1" customWidth="1"/>
  </cols>
  <sheetData>
    <row r="1" spans="1:2" x14ac:dyDescent="0.35">
      <c r="A1" s="1" t="s">
        <v>9</v>
      </c>
      <c r="B1" s="7" t="s">
        <v>503</v>
      </c>
    </row>
    <row r="2" spans="1:2" x14ac:dyDescent="0.35">
      <c r="A2" s="7" t="s">
        <v>21</v>
      </c>
      <c r="B2" s="7">
        <v>1</v>
      </c>
    </row>
    <row r="3" spans="1:2" x14ac:dyDescent="0.35">
      <c r="A3" s="7" t="s">
        <v>25</v>
      </c>
      <c r="B3" s="7">
        <v>2</v>
      </c>
    </row>
    <row r="4" spans="1:2" x14ac:dyDescent="0.35">
      <c r="A4" s="7" t="s">
        <v>30</v>
      </c>
      <c r="B4" s="7">
        <v>3</v>
      </c>
    </row>
    <row r="5" spans="1:2" x14ac:dyDescent="0.35">
      <c r="A5" s="7" t="s">
        <v>49</v>
      </c>
      <c r="B5" s="7">
        <v>4</v>
      </c>
    </row>
    <row r="6" spans="1:2" x14ac:dyDescent="0.35">
      <c r="A6" s="7" t="s">
        <v>97</v>
      </c>
      <c r="B6" s="7">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Reporte Tareas</vt:lpstr>
      <vt:lpstr>Tipo Tarea</vt:lpstr>
      <vt:lpstr>Usuarios</vt:lpstr>
      <vt:lpstr>Estados</vt:lpstr>
      <vt:lpstr>Departamentos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Chavez</cp:lastModifiedBy>
  <dcterms:created xsi:type="dcterms:W3CDTF">2026-03-30T13:33:41Z</dcterms:created>
  <dcterms:modified xsi:type="dcterms:W3CDTF">2026-04-01T13:11:38Z</dcterms:modified>
</cp:coreProperties>
</file>