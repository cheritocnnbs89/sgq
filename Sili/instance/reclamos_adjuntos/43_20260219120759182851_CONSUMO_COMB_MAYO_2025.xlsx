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itransport-my.sharepoint.com/personal/dborrero_quimitransport_com_ec/Documents/Escritorio/"/>
    </mc:Choice>
  </mc:AlternateContent>
  <xr:revisionPtr revIDLastSave="4" documentId="8_{C7D56CDD-51B5-4D15-9A8F-D749514EBCF8}" xr6:coauthVersionLast="47" xr6:coauthVersionMax="47" xr10:uidLastSave="{DB9D51F0-357D-43AD-AF81-E4166376C783}"/>
  <bookViews>
    <workbookView xWindow="-110" yWindow="-110" windowWidth="19420" windowHeight="10300" xr2:uid="{9311C177-CDB2-434C-BB9D-73E347A3C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6" i="1"/>
  <c r="J33" i="1"/>
  <c r="J38" i="1"/>
  <c r="J37" i="1"/>
  <c r="J36" i="1"/>
  <c r="J35" i="1"/>
  <c r="J34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J4" i="1"/>
  <c r="M3" i="1"/>
  <c r="J3" i="1"/>
  <c r="J2" i="1"/>
</calcChain>
</file>

<file path=xl/sharedStrings.xml><?xml version="1.0" encoding="utf-8"?>
<sst xmlns="http://schemas.openxmlformats.org/spreadsheetml/2006/main" count="198" uniqueCount="95">
  <si>
    <t>FECHA_COMPRA</t>
  </si>
  <si>
    <t>DESCRIPCION</t>
  </si>
  <si>
    <t>NOTA_DESPACHO</t>
  </si>
  <si>
    <t>PLACA_VEHICULO</t>
  </si>
  <si>
    <t>TRANSPORTISTA</t>
  </si>
  <si>
    <t>KILOMETRAJE</t>
  </si>
  <si>
    <t>PRODUCTO</t>
  </si>
  <si>
    <t>CANTIDAD</t>
  </si>
  <si>
    <t>PRECIO</t>
  </si>
  <si>
    <t>SUBTOTAL</t>
  </si>
  <si>
    <t>SOLICITUD</t>
  </si>
  <si>
    <t>ORDEN DE COMPRA</t>
  </si>
  <si>
    <t xml:space="preserve">INDICE CONSUMO </t>
  </si>
  <si>
    <t>EESS PERIMETRAL</t>
  </si>
  <si>
    <t>GBO4575</t>
  </si>
  <si>
    <t>FABIAN GUZMAN</t>
  </si>
  <si>
    <t>DIESEL PREMIUM</t>
  </si>
  <si>
    <t>GBO4576</t>
  </si>
  <si>
    <t>LUIS MOINA</t>
  </si>
  <si>
    <t>GBO7512</t>
  </si>
  <si>
    <t>FAUSTO IRIGOYEN</t>
  </si>
  <si>
    <t>GBP1822</t>
  </si>
  <si>
    <t>RUILOVA HECTOR</t>
  </si>
  <si>
    <t>GBP1824</t>
  </si>
  <si>
    <t>MINDA JORGE</t>
  </si>
  <si>
    <t>GBP1825</t>
  </si>
  <si>
    <t>PONCE ITALO</t>
  </si>
  <si>
    <t>GBP1829</t>
  </si>
  <si>
    <t>JARAMILLO FELIPE</t>
  </si>
  <si>
    <t>GBP1830</t>
  </si>
  <si>
    <t>LEYTON ESPAÑA KLEBER VICENTE</t>
  </si>
  <si>
    <t>GBP1831</t>
  </si>
  <si>
    <t>JHON LARCO</t>
  </si>
  <si>
    <t>GBP1833</t>
  </si>
  <si>
    <t>GALO PONCE</t>
  </si>
  <si>
    <t>GBP5686</t>
  </si>
  <si>
    <t>ANTONIO ESCOBAR</t>
  </si>
  <si>
    <t>GBP5715</t>
  </si>
  <si>
    <t>CESAR ZAMORA</t>
  </si>
  <si>
    <t>GBP7537</t>
  </si>
  <si>
    <t>HUMBERTO SILVA</t>
  </si>
  <si>
    <t>EESS COLORADO</t>
  </si>
  <si>
    <t>GBP7546</t>
  </si>
  <si>
    <t>FAUSTO FIGUEROA</t>
  </si>
  <si>
    <t>GLR0474</t>
  </si>
  <si>
    <t>OSWALDO GERMAN</t>
  </si>
  <si>
    <t>GMT0437</t>
  </si>
  <si>
    <t>ANTONIO BARRETO</t>
  </si>
  <si>
    <t>EESS EL EMPALME</t>
  </si>
  <si>
    <t>GMY0421</t>
  </si>
  <si>
    <t>RODRIGUEZ MARCILLO EDGAR OSWALDO</t>
  </si>
  <si>
    <t>GPU0778</t>
  </si>
  <si>
    <t>ANGEL TORRES</t>
  </si>
  <si>
    <t>GQO0549</t>
  </si>
  <si>
    <t>TELMO GAME</t>
  </si>
  <si>
    <t>EESS EL RANCHO</t>
  </si>
  <si>
    <t>GSL4466</t>
  </si>
  <si>
    <t>NIETO TORRES STANLEY RUDNEY</t>
  </si>
  <si>
    <t>EESS LANDETRANS</t>
  </si>
  <si>
    <t>GSP9185</t>
  </si>
  <si>
    <t>OMAR PAREDES</t>
  </si>
  <si>
    <t>GSQ2980</t>
  </si>
  <si>
    <t>JAVIER AYALA</t>
  </si>
  <si>
    <t>EESS SANTA ROSA</t>
  </si>
  <si>
    <t>GSQ6551</t>
  </si>
  <si>
    <t>LUIS SANCHEZ</t>
  </si>
  <si>
    <t>GSR3654</t>
  </si>
  <si>
    <t>ANGELO BERMEO</t>
  </si>
  <si>
    <t>EESS RHINOGAS</t>
  </si>
  <si>
    <t>GSR3655</t>
  </si>
  <si>
    <t>JOEL HERRERA</t>
  </si>
  <si>
    <t>GTA9886</t>
  </si>
  <si>
    <t>JAIME ZAMBRANO</t>
  </si>
  <si>
    <t>GTH0426</t>
  </si>
  <si>
    <t>EESS CALIFORNIA</t>
  </si>
  <si>
    <t>PBO3372</t>
  </si>
  <si>
    <t>PCH9457</t>
  </si>
  <si>
    <t>FRANKIL TOALA</t>
  </si>
  <si>
    <t>EESS EL GUABO</t>
  </si>
  <si>
    <t>PDF3376</t>
  </si>
  <si>
    <t>JAVIER MONTENEGRO</t>
  </si>
  <si>
    <t>RBA6199</t>
  </si>
  <si>
    <t>JIMMY PINCAY</t>
  </si>
  <si>
    <t>RBA6200</t>
  </si>
  <si>
    <t>GABRIEL SAYAY</t>
  </si>
  <si>
    <t>GSM4805</t>
  </si>
  <si>
    <t>GBN6299</t>
  </si>
  <si>
    <t>CRISTIAN BAUTISTA</t>
  </si>
  <si>
    <t>GSQ2883</t>
  </si>
  <si>
    <t>MANGUA BAYRON</t>
  </si>
  <si>
    <t>GBP1823</t>
  </si>
  <si>
    <t>PDM2637</t>
  </si>
  <si>
    <t>258-001-000033536</t>
  </si>
  <si>
    <t>HENRY CAMBA</t>
  </si>
  <si>
    <t>BAYRON MANGUA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</si>
</sst>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.000_ ;_ &quot;$&quot;* \-#,##0.000_ ;_ &quot;$&quot;* &quot;-&quot;??_ ;_ @_ "/>
    <numFmt numFmtId="165" formatCode="0.0000"/>
    <numFmt numFmtId="166" formatCode="0.00000"/>
    <numFmt numFmtId="167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165" fontId="0" fillId="2" borderId="1" xfId="0" applyNumberFormat="1" applyFill="1" applyBorder="1"/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0" fillId="2" borderId="0" xfId="0" applyFill="1"/>
    <xf numFmtId="166" fontId="0" fillId="0" borderId="0" xfId="0" applyNumberFormat="1" applyAlignment="1">
      <alignment horizontal="center"/>
    </xf>
    <xf numFmtId="167" fontId="0" fillId="2" borderId="1" xfId="0" applyNumberFormat="1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24EA-7565-48D4-B7EE-035179BD5F26}">
  <dimension ref="A1:M39"/>
  <sheetViews>
    <sheetView tabSelected="1" topLeftCell="A22" zoomScale="98" zoomScaleNormal="98" workbookViewId="0">
      <selection activeCell="E28" sqref="E28"/>
    </sheetView>
  </sheetViews>
  <sheetFormatPr baseColWidth="10" defaultColWidth="10.90625" defaultRowHeight="14.5" x14ac:dyDescent="0.35"/>
  <cols>
    <col min="1" max="1" width="18" style="9" bestFit="1" customWidth="1"/>
    <col min="2" max="2" width="17.26953125" style="9" customWidth="1"/>
    <col min="3" max="3" width="19.1796875" style="9" bestFit="1" customWidth="1"/>
    <col min="4" max="4" width="18.453125" style="9" customWidth="1"/>
    <col min="5" max="5" width="24.90625" style="9" customWidth="1"/>
    <col min="6" max="6" width="12.08984375" style="9" customWidth="1"/>
    <col min="7" max="7" width="15.90625" style="9" customWidth="1"/>
    <col min="8" max="8" width="16.08984375" style="9" customWidth="1"/>
    <col min="9" max="9" width="13.7265625" style="9" bestFit="1" customWidth="1"/>
    <col min="10" max="10" width="22.81640625" style="14" customWidth="1"/>
    <col min="12" max="12" width="18.54296875" bestFit="1" customWidth="1"/>
    <col min="13" max="13" width="17.453125" bestFit="1" customWidth="1"/>
  </cols>
  <sheetData>
    <row r="1" spans="1:13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5" customHeight="1" x14ac:dyDescent="0.35">
      <c r="A2" s="3">
        <v>45813</v>
      </c>
      <c r="B2" s="4" t="s">
        <v>13</v>
      </c>
      <c r="C2" s="4" t="s">
        <v>92</v>
      </c>
      <c r="D2" s="4" t="s">
        <v>14</v>
      </c>
      <c r="E2" s="4" t="s">
        <v>15</v>
      </c>
      <c r="F2" s="5">
        <v>1</v>
      </c>
      <c r="G2" s="4" t="s">
        <v>16</v>
      </c>
      <c r="H2" s="4">
        <v>1208.3209999999999</v>
      </c>
      <c r="I2" s="6">
        <v>1.5626</v>
      </c>
      <c r="J2" s="6">
        <f t="shared" ref="J2:J38" si="0">+H2*I2</f>
        <v>1888.1223945999998</v>
      </c>
      <c r="K2" s="7"/>
      <c r="L2" s="7"/>
      <c r="M2" s="8"/>
    </row>
    <row r="3" spans="1:13" ht="14.5" customHeight="1" x14ac:dyDescent="0.35">
      <c r="A3" s="3">
        <v>45813</v>
      </c>
      <c r="B3" s="4" t="s">
        <v>13</v>
      </c>
      <c r="C3" s="4" t="s">
        <v>92</v>
      </c>
      <c r="D3" s="4" t="s">
        <v>17</v>
      </c>
      <c r="E3" s="4" t="s">
        <v>18</v>
      </c>
      <c r="F3" s="5">
        <v>1</v>
      </c>
      <c r="G3" s="9" t="s">
        <v>16</v>
      </c>
      <c r="H3" s="4">
        <v>876.46199999999999</v>
      </c>
      <c r="I3" s="6">
        <v>1.5626</v>
      </c>
      <c r="J3" s="6">
        <f t="shared" si="0"/>
        <v>1369.5595212000001</v>
      </c>
      <c r="M3" s="10">
        <f>SUM(M2:M2)</f>
        <v>0</v>
      </c>
    </row>
    <row r="4" spans="1:13" ht="14.5" customHeight="1" x14ac:dyDescent="0.35">
      <c r="A4" s="3">
        <v>45813</v>
      </c>
      <c r="B4" s="4" t="s">
        <v>13</v>
      </c>
      <c r="C4" s="4" t="s">
        <v>92</v>
      </c>
      <c r="D4" s="4" t="s">
        <v>19</v>
      </c>
      <c r="E4" s="4" t="s">
        <v>20</v>
      </c>
      <c r="F4" s="5">
        <v>1</v>
      </c>
      <c r="G4" s="9" t="s">
        <v>16</v>
      </c>
      <c r="H4" s="4">
        <v>1307.7360000000001</v>
      </c>
      <c r="I4" s="6">
        <v>1.5626</v>
      </c>
      <c r="J4" s="6">
        <f t="shared" si="0"/>
        <v>2043.4682736000002</v>
      </c>
    </row>
    <row r="5" spans="1:13" ht="14.5" customHeight="1" x14ac:dyDescent="0.35">
      <c r="A5" s="3">
        <v>45813</v>
      </c>
      <c r="B5" s="4" t="s">
        <v>13</v>
      </c>
      <c r="C5" s="4" t="s">
        <v>92</v>
      </c>
      <c r="D5" s="4" t="s">
        <v>21</v>
      </c>
      <c r="E5" s="4" t="s">
        <v>22</v>
      </c>
      <c r="F5" s="5">
        <v>1</v>
      </c>
      <c r="G5" s="9" t="s">
        <v>16</v>
      </c>
      <c r="H5" s="4">
        <v>1010.1180000000001</v>
      </c>
      <c r="I5" s="6">
        <v>1.5626</v>
      </c>
      <c r="J5" s="6">
        <f t="shared" si="0"/>
        <v>1578.4103868</v>
      </c>
    </row>
    <row r="6" spans="1:13" ht="14.5" customHeight="1" x14ac:dyDescent="0.35">
      <c r="A6" s="3">
        <v>45813</v>
      </c>
      <c r="B6" s="4" t="s">
        <v>13</v>
      </c>
      <c r="C6" s="4" t="s">
        <v>92</v>
      </c>
      <c r="D6" s="4" t="s">
        <v>90</v>
      </c>
      <c r="E6" s="4" t="s">
        <v>93</v>
      </c>
      <c r="F6" s="5">
        <v>1</v>
      </c>
      <c r="G6" s="9" t="s">
        <v>16</v>
      </c>
      <c r="H6" s="4">
        <v>129.886</v>
      </c>
      <c r="I6" s="6">
        <v>1.5626</v>
      </c>
      <c r="J6" s="6">
        <f>H6*I6</f>
        <v>202.95986360000001</v>
      </c>
    </row>
    <row r="7" spans="1:13" ht="14.5" customHeight="1" x14ac:dyDescent="0.35">
      <c r="A7" s="3">
        <v>45813</v>
      </c>
      <c r="B7" s="4" t="s">
        <v>13</v>
      </c>
      <c r="C7" s="4" t="s">
        <v>92</v>
      </c>
      <c r="D7" s="4" t="s">
        <v>23</v>
      </c>
      <c r="E7" s="4" t="s">
        <v>24</v>
      </c>
      <c r="F7" s="5">
        <v>1</v>
      </c>
      <c r="G7" s="9" t="s">
        <v>16</v>
      </c>
      <c r="H7" s="4">
        <v>1246.432</v>
      </c>
      <c r="I7" s="6">
        <v>1.5626</v>
      </c>
      <c r="J7" s="6">
        <f t="shared" si="0"/>
        <v>1947.6746432</v>
      </c>
    </row>
    <row r="8" spans="1:13" ht="14.5" customHeight="1" x14ac:dyDescent="0.35">
      <c r="A8" s="3">
        <v>45813</v>
      </c>
      <c r="B8" s="4" t="s">
        <v>13</v>
      </c>
      <c r="C8" s="4" t="s">
        <v>92</v>
      </c>
      <c r="D8" s="4" t="s">
        <v>25</v>
      </c>
      <c r="E8" s="4" t="s">
        <v>26</v>
      </c>
      <c r="F8" s="5">
        <v>1</v>
      </c>
      <c r="G8" s="9" t="s">
        <v>16</v>
      </c>
      <c r="H8" s="4">
        <v>1210.7650000000001</v>
      </c>
      <c r="I8" s="6">
        <v>1.5626</v>
      </c>
      <c r="J8" s="6">
        <f t="shared" si="0"/>
        <v>1891.9413890000001</v>
      </c>
    </row>
    <row r="9" spans="1:13" ht="14.5" customHeight="1" x14ac:dyDescent="0.35">
      <c r="A9" s="3">
        <v>45813</v>
      </c>
      <c r="B9" s="4" t="s">
        <v>13</v>
      </c>
      <c r="C9" s="4" t="s">
        <v>92</v>
      </c>
      <c r="D9" s="4" t="s">
        <v>27</v>
      </c>
      <c r="E9" s="4" t="s">
        <v>28</v>
      </c>
      <c r="F9" s="5">
        <v>1</v>
      </c>
      <c r="G9" s="9" t="s">
        <v>16</v>
      </c>
      <c r="H9" s="4">
        <v>1155.9780000000001</v>
      </c>
      <c r="I9" s="6">
        <v>1.5626</v>
      </c>
      <c r="J9" s="6">
        <f t="shared" si="0"/>
        <v>1806.3312228</v>
      </c>
    </row>
    <row r="10" spans="1:13" ht="14.5" customHeight="1" x14ac:dyDescent="0.35">
      <c r="A10" s="3">
        <v>45813</v>
      </c>
      <c r="B10" s="4" t="s">
        <v>13</v>
      </c>
      <c r="C10" s="4" t="s">
        <v>92</v>
      </c>
      <c r="D10" s="4" t="s">
        <v>29</v>
      </c>
      <c r="E10" s="4" t="s">
        <v>30</v>
      </c>
      <c r="F10" s="5">
        <v>1</v>
      </c>
      <c r="G10" s="9" t="s">
        <v>16</v>
      </c>
      <c r="H10" s="4">
        <v>1001.386</v>
      </c>
      <c r="I10" s="6">
        <v>1.5626</v>
      </c>
      <c r="J10" s="6">
        <f t="shared" si="0"/>
        <v>1564.7657635999999</v>
      </c>
    </row>
    <row r="11" spans="1:13" ht="14.5" customHeight="1" x14ac:dyDescent="0.35">
      <c r="A11" s="3">
        <v>45813</v>
      </c>
      <c r="B11" s="4" t="s">
        <v>13</v>
      </c>
      <c r="C11" s="4" t="s">
        <v>92</v>
      </c>
      <c r="D11" s="4" t="s">
        <v>31</v>
      </c>
      <c r="E11" s="4" t="s">
        <v>32</v>
      </c>
      <c r="F11" s="5">
        <v>1</v>
      </c>
      <c r="G11" s="9" t="s">
        <v>16</v>
      </c>
      <c r="H11" s="4">
        <v>598.81200000000001</v>
      </c>
      <c r="I11" s="6">
        <v>1.5626</v>
      </c>
      <c r="J11" s="6">
        <f t="shared" si="0"/>
        <v>935.70363120000002</v>
      </c>
    </row>
    <row r="12" spans="1:13" ht="14.5" customHeight="1" x14ac:dyDescent="0.35">
      <c r="A12" s="3">
        <v>45813</v>
      </c>
      <c r="B12" s="4" t="s">
        <v>13</v>
      </c>
      <c r="C12" s="4" t="s">
        <v>92</v>
      </c>
      <c r="D12" s="4" t="s">
        <v>33</v>
      </c>
      <c r="E12" s="4" t="s">
        <v>34</v>
      </c>
      <c r="F12" s="5">
        <v>1</v>
      </c>
      <c r="G12" s="9" t="s">
        <v>16</v>
      </c>
      <c r="H12" s="4">
        <v>1205.604</v>
      </c>
      <c r="I12" s="6">
        <v>1.5626</v>
      </c>
      <c r="J12" s="6">
        <f t="shared" si="0"/>
        <v>1883.8768104000001</v>
      </c>
    </row>
    <row r="13" spans="1:13" ht="14.5" customHeight="1" x14ac:dyDescent="0.35">
      <c r="A13" s="3">
        <v>45813</v>
      </c>
      <c r="B13" s="4" t="s">
        <v>13</v>
      </c>
      <c r="C13" s="4" t="s">
        <v>92</v>
      </c>
      <c r="D13" s="4" t="s">
        <v>35</v>
      </c>
      <c r="E13" s="4" t="s">
        <v>36</v>
      </c>
      <c r="F13" s="5">
        <v>1</v>
      </c>
      <c r="G13" s="9" t="s">
        <v>16</v>
      </c>
      <c r="H13" s="4">
        <v>777.28399999999999</v>
      </c>
      <c r="I13" s="6">
        <v>1.5626</v>
      </c>
      <c r="J13" s="6">
        <f t="shared" si="0"/>
        <v>1214.5839784</v>
      </c>
    </row>
    <row r="14" spans="1:13" ht="14.5" customHeight="1" x14ac:dyDescent="0.35">
      <c r="A14" s="3">
        <v>45813</v>
      </c>
      <c r="B14" s="4" t="s">
        <v>13</v>
      </c>
      <c r="C14" s="4" t="s">
        <v>92</v>
      </c>
      <c r="D14" s="4" t="s">
        <v>37</v>
      </c>
      <c r="E14" s="4" t="s">
        <v>38</v>
      </c>
      <c r="F14" s="5">
        <v>1</v>
      </c>
      <c r="G14" s="9" t="s">
        <v>16</v>
      </c>
      <c r="H14" s="4">
        <v>470.75299999999999</v>
      </c>
      <c r="I14" s="6">
        <v>1.5626</v>
      </c>
      <c r="J14" s="6">
        <f t="shared" si="0"/>
        <v>735.59863780000001</v>
      </c>
    </row>
    <row r="15" spans="1:13" ht="14.5" customHeight="1" x14ac:dyDescent="0.35">
      <c r="A15" s="3">
        <v>45813</v>
      </c>
      <c r="B15" s="4" t="s">
        <v>13</v>
      </c>
      <c r="C15" s="4" t="s">
        <v>92</v>
      </c>
      <c r="D15" s="4" t="s">
        <v>39</v>
      </c>
      <c r="E15" s="4" t="s">
        <v>40</v>
      </c>
      <c r="F15" s="5">
        <v>1</v>
      </c>
      <c r="G15" s="9" t="s">
        <v>16</v>
      </c>
      <c r="H15" s="4">
        <v>747.81700000000001</v>
      </c>
      <c r="I15" s="6">
        <v>1.5626</v>
      </c>
      <c r="J15" s="6">
        <f t="shared" si="0"/>
        <v>1168.5388442000001</v>
      </c>
    </row>
    <row r="16" spans="1:13" ht="14.5" customHeight="1" x14ac:dyDescent="0.35">
      <c r="A16" s="3">
        <v>45813</v>
      </c>
      <c r="B16" s="4" t="s">
        <v>41</v>
      </c>
      <c r="C16" s="4" t="s">
        <v>92</v>
      </c>
      <c r="D16" s="4" t="s">
        <v>42</v>
      </c>
      <c r="E16" s="4" t="s">
        <v>43</v>
      </c>
      <c r="F16" s="5">
        <v>1</v>
      </c>
      <c r="G16" s="9" t="s">
        <v>16</v>
      </c>
      <c r="H16" s="4">
        <v>1151.046</v>
      </c>
      <c r="I16" s="6">
        <v>1.5626</v>
      </c>
      <c r="J16" s="6">
        <f t="shared" si="0"/>
        <v>1798.6244796000001</v>
      </c>
    </row>
    <row r="17" spans="1:10" ht="14.5" customHeight="1" x14ac:dyDescent="0.35">
      <c r="A17" s="3">
        <v>45813</v>
      </c>
      <c r="B17" s="4" t="s">
        <v>41</v>
      </c>
      <c r="C17" s="4" t="s">
        <v>92</v>
      </c>
      <c r="D17" s="4" t="s">
        <v>44</v>
      </c>
      <c r="E17" s="4" t="s">
        <v>45</v>
      </c>
      <c r="F17" s="5">
        <v>1</v>
      </c>
      <c r="G17" s="9" t="s">
        <v>16</v>
      </c>
      <c r="H17" s="4">
        <v>83.52</v>
      </c>
      <c r="I17" s="6">
        <v>1.5626</v>
      </c>
      <c r="J17" s="6">
        <f t="shared" si="0"/>
        <v>130.508352</v>
      </c>
    </row>
    <row r="18" spans="1:10" ht="14.5" customHeight="1" x14ac:dyDescent="0.35">
      <c r="A18" s="3">
        <v>45813</v>
      </c>
      <c r="B18" s="4" t="s">
        <v>13</v>
      </c>
      <c r="C18" s="4" t="s">
        <v>92</v>
      </c>
      <c r="D18" s="4" t="s">
        <v>46</v>
      </c>
      <c r="E18" s="4" t="s">
        <v>47</v>
      </c>
      <c r="F18" s="5">
        <v>1</v>
      </c>
      <c r="G18" s="9" t="s">
        <v>16</v>
      </c>
      <c r="H18" s="4">
        <v>149.31299999999999</v>
      </c>
      <c r="I18" s="6">
        <v>1.5626</v>
      </c>
      <c r="J18" s="6">
        <f t="shared" si="0"/>
        <v>233.31649379999999</v>
      </c>
    </row>
    <row r="19" spans="1:10" ht="14.5" customHeight="1" x14ac:dyDescent="0.35">
      <c r="A19" s="3">
        <v>45813</v>
      </c>
      <c r="B19" s="4" t="s">
        <v>48</v>
      </c>
      <c r="C19" s="4" t="s">
        <v>92</v>
      </c>
      <c r="D19" s="4" t="s">
        <v>49</v>
      </c>
      <c r="E19" s="4" t="s">
        <v>50</v>
      </c>
      <c r="F19" s="5">
        <v>1</v>
      </c>
      <c r="G19" s="9" t="s">
        <v>16</v>
      </c>
      <c r="H19" s="4">
        <v>186.21299999999999</v>
      </c>
      <c r="I19" s="6">
        <v>1.5626</v>
      </c>
      <c r="J19" s="6">
        <f t="shared" si="0"/>
        <v>290.9764338</v>
      </c>
    </row>
    <row r="20" spans="1:10" ht="14.5" customHeight="1" x14ac:dyDescent="0.35">
      <c r="A20" s="3">
        <v>45813</v>
      </c>
      <c r="B20" s="4" t="s">
        <v>41</v>
      </c>
      <c r="C20" s="4" t="s">
        <v>92</v>
      </c>
      <c r="D20" s="4" t="s">
        <v>51</v>
      </c>
      <c r="E20" s="4" t="s">
        <v>52</v>
      </c>
      <c r="F20" s="5">
        <v>1</v>
      </c>
      <c r="G20" s="9" t="s">
        <v>16</v>
      </c>
      <c r="H20" s="4">
        <v>69.790000000000006</v>
      </c>
      <c r="I20" s="6">
        <v>1.5626</v>
      </c>
      <c r="J20" s="6">
        <f t="shared" si="0"/>
        <v>109.05385400000002</v>
      </c>
    </row>
    <row r="21" spans="1:10" ht="14.5" customHeight="1" x14ac:dyDescent="0.35">
      <c r="A21" s="3">
        <v>45813</v>
      </c>
      <c r="B21" s="4" t="s">
        <v>41</v>
      </c>
      <c r="C21" s="4" t="s">
        <v>92</v>
      </c>
      <c r="D21" s="4" t="s">
        <v>53</v>
      </c>
      <c r="E21" s="4" t="s">
        <v>54</v>
      </c>
      <c r="F21" s="5">
        <v>1</v>
      </c>
      <c r="G21" s="9" t="s">
        <v>16</v>
      </c>
      <c r="H21" s="4">
        <v>261.81200000000001</v>
      </c>
      <c r="I21" s="6">
        <v>1.5626</v>
      </c>
      <c r="J21" s="6">
        <f t="shared" si="0"/>
        <v>409.10743120000001</v>
      </c>
    </row>
    <row r="22" spans="1:10" ht="14.5" customHeight="1" x14ac:dyDescent="0.35">
      <c r="A22" s="3">
        <v>45813</v>
      </c>
      <c r="B22" s="4" t="s">
        <v>55</v>
      </c>
      <c r="C22" s="4" t="s">
        <v>92</v>
      </c>
      <c r="D22" s="4" t="s">
        <v>56</v>
      </c>
      <c r="E22" s="4" t="s">
        <v>57</v>
      </c>
      <c r="F22" s="5">
        <v>1</v>
      </c>
      <c r="G22" s="9" t="s">
        <v>16</v>
      </c>
      <c r="H22" s="4">
        <v>351.88</v>
      </c>
      <c r="I22" s="6">
        <v>1.5626</v>
      </c>
      <c r="J22" s="6">
        <f t="shared" si="0"/>
        <v>549.84768799999995</v>
      </c>
    </row>
    <row r="23" spans="1:10" ht="14.5" customHeight="1" x14ac:dyDescent="0.35">
      <c r="A23" s="3">
        <v>45813</v>
      </c>
      <c r="B23" s="4" t="s">
        <v>58</v>
      </c>
      <c r="C23" s="4" t="s">
        <v>92</v>
      </c>
      <c r="D23" s="4" t="s">
        <v>59</v>
      </c>
      <c r="E23" s="4" t="s">
        <v>60</v>
      </c>
      <c r="F23" s="5">
        <v>1</v>
      </c>
      <c r="G23" s="9" t="s">
        <v>16</v>
      </c>
      <c r="H23" s="4">
        <v>223.99299999999999</v>
      </c>
      <c r="I23" s="6">
        <v>1.5626</v>
      </c>
      <c r="J23" s="6">
        <f t="shared" si="0"/>
        <v>350.01146180000001</v>
      </c>
    </row>
    <row r="24" spans="1:10" ht="14.5" customHeight="1" x14ac:dyDescent="0.35">
      <c r="A24" s="3">
        <v>45813</v>
      </c>
      <c r="B24" s="4" t="s">
        <v>13</v>
      </c>
      <c r="C24" s="4" t="s">
        <v>92</v>
      </c>
      <c r="D24" s="4" t="s">
        <v>61</v>
      </c>
      <c r="E24" s="4" t="s">
        <v>62</v>
      </c>
      <c r="F24" s="5">
        <v>1</v>
      </c>
      <c r="G24" s="9" t="s">
        <v>16</v>
      </c>
      <c r="H24" s="11">
        <v>1047.896</v>
      </c>
      <c r="I24" s="6">
        <v>1.5626</v>
      </c>
      <c r="J24" s="6">
        <f t="shared" si="0"/>
        <v>1637.4422895999999</v>
      </c>
    </row>
    <row r="25" spans="1:10" ht="14.5" customHeight="1" x14ac:dyDescent="0.35">
      <c r="A25" s="3">
        <v>45813</v>
      </c>
      <c r="B25" s="4" t="s">
        <v>63</v>
      </c>
      <c r="C25" s="4" t="s">
        <v>92</v>
      </c>
      <c r="D25" s="4" t="s">
        <v>64</v>
      </c>
      <c r="E25" s="4" t="s">
        <v>65</v>
      </c>
      <c r="F25" s="5">
        <v>1</v>
      </c>
      <c r="G25" s="9" t="s">
        <v>16</v>
      </c>
      <c r="H25" s="4">
        <v>964.02200000000005</v>
      </c>
      <c r="I25" s="6">
        <v>1.5626</v>
      </c>
      <c r="J25" s="6">
        <f t="shared" si="0"/>
        <v>1506.3807772</v>
      </c>
    </row>
    <row r="26" spans="1:10" ht="14.5" customHeight="1" x14ac:dyDescent="0.35">
      <c r="A26" s="3">
        <v>45813</v>
      </c>
      <c r="B26" s="4" t="s">
        <v>63</v>
      </c>
      <c r="C26" s="4" t="s">
        <v>92</v>
      </c>
      <c r="D26" s="4" t="s">
        <v>66</v>
      </c>
      <c r="E26" s="4" t="s">
        <v>67</v>
      </c>
      <c r="F26" s="5">
        <v>1</v>
      </c>
      <c r="G26" s="9" t="s">
        <v>16</v>
      </c>
      <c r="H26" s="4">
        <v>535.23299999999995</v>
      </c>
      <c r="I26" s="6">
        <v>1.5626</v>
      </c>
      <c r="J26" s="6">
        <f t="shared" si="0"/>
        <v>836.35508579999987</v>
      </c>
    </row>
    <row r="27" spans="1:10" ht="14.5" customHeight="1" x14ac:dyDescent="0.35">
      <c r="A27" s="3">
        <v>45813</v>
      </c>
      <c r="B27" s="4" t="s">
        <v>68</v>
      </c>
      <c r="C27" s="4" t="s">
        <v>92</v>
      </c>
      <c r="D27" s="4" t="s">
        <v>69</v>
      </c>
      <c r="E27" s="4" t="s">
        <v>70</v>
      </c>
      <c r="F27" s="5">
        <v>1</v>
      </c>
      <c r="G27" s="9" t="s">
        <v>16</v>
      </c>
      <c r="H27" s="9">
        <v>836.27700000000004</v>
      </c>
      <c r="I27" s="6">
        <v>1.5626</v>
      </c>
      <c r="J27" s="6">
        <f t="shared" si="0"/>
        <v>1306.7664402</v>
      </c>
    </row>
    <row r="28" spans="1:10" ht="14.5" customHeight="1" x14ac:dyDescent="0.35">
      <c r="A28" s="3">
        <v>45813</v>
      </c>
      <c r="B28" s="4" t="s">
        <v>13</v>
      </c>
      <c r="C28" s="4" t="s">
        <v>92</v>
      </c>
      <c r="D28" s="4" t="s">
        <v>71</v>
      </c>
      <c r="E28" s="4" t="s">
        <v>72</v>
      </c>
      <c r="F28" s="5">
        <v>1</v>
      </c>
      <c r="G28" s="9" t="s">
        <v>16</v>
      </c>
      <c r="H28" s="4">
        <v>801.31399999999996</v>
      </c>
      <c r="I28" s="6">
        <v>1.5626</v>
      </c>
      <c r="J28" s="6">
        <f t="shared" si="0"/>
        <v>1252.1332563999999</v>
      </c>
    </row>
    <row r="29" spans="1:10" ht="14.5" customHeight="1" x14ac:dyDescent="0.35">
      <c r="A29" s="3">
        <v>45813</v>
      </c>
      <c r="B29" s="4" t="s">
        <v>13</v>
      </c>
      <c r="C29" s="4" t="s">
        <v>92</v>
      </c>
      <c r="D29" s="4" t="s">
        <v>73</v>
      </c>
      <c r="E29" s="4" t="s">
        <v>70</v>
      </c>
      <c r="F29" s="5">
        <v>1</v>
      </c>
      <c r="G29" s="9" t="s">
        <v>16</v>
      </c>
      <c r="H29" s="4">
        <v>950.59</v>
      </c>
      <c r="I29" s="6">
        <v>1.5626</v>
      </c>
      <c r="J29" s="6">
        <f t="shared" si="0"/>
        <v>1485.391934</v>
      </c>
    </row>
    <row r="30" spans="1:10" ht="14.5" customHeight="1" x14ac:dyDescent="0.35">
      <c r="A30" s="3">
        <v>45813</v>
      </c>
      <c r="B30" s="4" t="s">
        <v>74</v>
      </c>
      <c r="C30" s="4" t="s">
        <v>92</v>
      </c>
      <c r="D30" s="4" t="s">
        <v>75</v>
      </c>
      <c r="E30" s="4" t="s">
        <v>52</v>
      </c>
      <c r="F30" s="5">
        <v>1</v>
      </c>
      <c r="G30" s="9" t="s">
        <v>16</v>
      </c>
      <c r="H30" s="4">
        <v>241.26599999999999</v>
      </c>
      <c r="I30" s="6">
        <v>1.5626</v>
      </c>
      <c r="J30" s="6">
        <f t="shared" si="0"/>
        <v>377.00225159999997</v>
      </c>
    </row>
    <row r="31" spans="1:10" ht="14.5" customHeight="1" x14ac:dyDescent="0.35">
      <c r="A31" s="3">
        <v>45813</v>
      </c>
      <c r="B31" s="4" t="s">
        <v>74</v>
      </c>
      <c r="C31" s="4" t="s">
        <v>92</v>
      </c>
      <c r="D31" s="4" t="s">
        <v>76</v>
      </c>
      <c r="E31" s="4" t="s">
        <v>77</v>
      </c>
      <c r="F31" s="5">
        <v>1</v>
      </c>
      <c r="G31" s="9" t="s">
        <v>16</v>
      </c>
      <c r="H31" s="4">
        <v>106.369</v>
      </c>
      <c r="I31" s="6">
        <v>1.5626</v>
      </c>
      <c r="J31" s="6">
        <f t="shared" si="0"/>
        <v>166.2121994</v>
      </c>
    </row>
    <row r="32" spans="1:10" ht="14.5" customHeight="1" x14ac:dyDescent="0.35">
      <c r="A32" s="3">
        <v>45813</v>
      </c>
      <c r="B32" s="4" t="s">
        <v>78</v>
      </c>
      <c r="C32" s="4" t="s">
        <v>92</v>
      </c>
      <c r="D32" s="4" t="s">
        <v>79</v>
      </c>
      <c r="E32" s="4" t="s">
        <v>80</v>
      </c>
      <c r="F32" s="5">
        <v>1</v>
      </c>
      <c r="G32" s="9" t="s">
        <v>16</v>
      </c>
      <c r="H32" s="4">
        <v>213.202</v>
      </c>
      <c r="I32" s="6">
        <v>1.5626</v>
      </c>
      <c r="J32" s="6">
        <f t="shared" si="0"/>
        <v>333.1494452</v>
      </c>
    </row>
    <row r="33" spans="1:10" ht="14.5" customHeight="1" x14ac:dyDescent="0.35">
      <c r="A33" s="3">
        <v>45813</v>
      </c>
      <c r="B33" s="4" t="s">
        <v>78</v>
      </c>
      <c r="C33" s="4" t="s">
        <v>92</v>
      </c>
      <c r="D33" s="4" t="s">
        <v>91</v>
      </c>
      <c r="E33" s="4" t="s">
        <v>94</v>
      </c>
      <c r="F33" s="5">
        <v>1</v>
      </c>
      <c r="G33" s="9" t="s">
        <v>16</v>
      </c>
      <c r="H33" s="4">
        <v>199.005</v>
      </c>
      <c r="I33" s="6">
        <v>1.5626</v>
      </c>
      <c r="J33" s="6">
        <f>H33*I33</f>
        <v>310.96521300000001</v>
      </c>
    </row>
    <row r="34" spans="1:10" ht="14.5" customHeight="1" x14ac:dyDescent="0.35">
      <c r="A34" s="3">
        <v>45813</v>
      </c>
      <c r="B34" s="4" t="s">
        <v>78</v>
      </c>
      <c r="C34" s="4" t="s">
        <v>92</v>
      </c>
      <c r="D34" s="4" t="s">
        <v>81</v>
      </c>
      <c r="E34" s="4" t="s">
        <v>82</v>
      </c>
      <c r="F34" s="5">
        <v>1</v>
      </c>
      <c r="G34" s="9" t="s">
        <v>16</v>
      </c>
      <c r="H34" s="4">
        <v>301.00700000000001</v>
      </c>
      <c r="I34" s="6">
        <v>1.5626</v>
      </c>
      <c r="J34" s="6">
        <f t="shared" si="0"/>
        <v>470.3535382</v>
      </c>
    </row>
    <row r="35" spans="1:10" ht="14.5" customHeight="1" x14ac:dyDescent="0.35">
      <c r="A35" s="3">
        <v>45813</v>
      </c>
      <c r="B35" s="4" t="s">
        <v>78</v>
      </c>
      <c r="C35" s="4" t="s">
        <v>92</v>
      </c>
      <c r="D35" s="4" t="s">
        <v>83</v>
      </c>
      <c r="E35" s="4" t="s">
        <v>84</v>
      </c>
      <c r="F35" s="12">
        <v>1</v>
      </c>
      <c r="G35" s="9" t="s">
        <v>16</v>
      </c>
      <c r="H35" s="13">
        <v>737.4</v>
      </c>
      <c r="I35" s="6">
        <v>1.5626</v>
      </c>
      <c r="J35" s="6">
        <f t="shared" si="0"/>
        <v>1152.26124</v>
      </c>
    </row>
    <row r="36" spans="1:10" ht="14.5" customHeight="1" x14ac:dyDescent="0.35">
      <c r="A36" s="3">
        <v>45813</v>
      </c>
      <c r="B36" s="4" t="s">
        <v>74</v>
      </c>
      <c r="C36" s="4" t="s">
        <v>92</v>
      </c>
      <c r="D36" s="4" t="s">
        <v>85</v>
      </c>
      <c r="E36" s="4" t="s">
        <v>54</v>
      </c>
      <c r="F36" s="4">
        <v>1</v>
      </c>
      <c r="G36" s="4" t="s">
        <v>16</v>
      </c>
      <c r="H36" s="4">
        <v>109.985</v>
      </c>
      <c r="I36" s="6">
        <v>1.5626</v>
      </c>
      <c r="J36" s="6">
        <f t="shared" si="0"/>
        <v>171.862561</v>
      </c>
    </row>
    <row r="37" spans="1:10" ht="14.5" customHeight="1" x14ac:dyDescent="0.35">
      <c r="A37" s="3">
        <v>45813</v>
      </c>
      <c r="B37" s="4" t="s">
        <v>74</v>
      </c>
      <c r="C37" s="4" t="s">
        <v>92</v>
      </c>
      <c r="D37" s="4" t="s">
        <v>86</v>
      </c>
      <c r="E37" s="4" t="s">
        <v>87</v>
      </c>
      <c r="F37" s="4">
        <v>1</v>
      </c>
      <c r="G37" s="4" t="s">
        <v>16</v>
      </c>
      <c r="H37" s="4">
        <v>289.93299999999999</v>
      </c>
      <c r="I37" s="6">
        <v>1.5626</v>
      </c>
      <c r="J37" s="6">
        <f t="shared" si="0"/>
        <v>453.04930580000001</v>
      </c>
    </row>
    <row r="38" spans="1:10" ht="14.5" customHeight="1" x14ac:dyDescent="0.35">
      <c r="A38" s="3">
        <v>45813</v>
      </c>
      <c r="B38" s="4" t="s">
        <v>74</v>
      </c>
      <c r="C38" s="4" t="s">
        <v>92</v>
      </c>
      <c r="D38" s="4" t="s">
        <v>88</v>
      </c>
      <c r="E38" s="4" t="s">
        <v>89</v>
      </c>
      <c r="F38" s="4">
        <v>1</v>
      </c>
      <c r="G38" s="4" t="s">
        <v>16</v>
      </c>
      <c r="H38" s="4">
        <v>163.00200000000001</v>
      </c>
      <c r="I38" s="6">
        <v>1.5626</v>
      </c>
      <c r="J38" s="6">
        <f t="shared" si="0"/>
        <v>254.7069252</v>
      </c>
    </row>
    <row r="39" spans="1:10" ht="14.5" customHeight="1" x14ac:dyDescent="0.35">
      <c r="J39" s="14">
        <f>SUM(J2:J38)</f>
        <v>35817.014017200003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Maria Borrero Sandoval</dc:creator>
  <cp:lastModifiedBy>Daniela Maria Borrero Sandoval</cp:lastModifiedBy>
  <dcterms:created xsi:type="dcterms:W3CDTF">2025-06-10T19:11:05Z</dcterms:created>
  <dcterms:modified xsi:type="dcterms:W3CDTF">2025-06-10T19:39:11Z</dcterms:modified>
</cp:coreProperties>
</file>